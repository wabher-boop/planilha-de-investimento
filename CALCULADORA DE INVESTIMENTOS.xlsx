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5cb92ee638801c/Área de Trabalho/"/>
    </mc:Choice>
  </mc:AlternateContent>
  <xr:revisionPtr revIDLastSave="5" documentId="8_{2A41E9F7-FC19-4EAB-9362-E4AE0618079A}" xr6:coauthVersionLast="47" xr6:coauthVersionMax="47" xr10:uidLastSave="{7D69E9B6-16F4-4B3B-9707-CCE540ACEA3C}"/>
  <bookViews>
    <workbookView xWindow="-120" yWindow="-120" windowWidth="20730" windowHeight="11040" tabRatio="0" xr2:uid="{E20508EC-56E7-4A56-9F3C-E956AD362E51}"/>
  </bookViews>
  <sheets>
    <sheet name="INVESTIMENTOS" sheetId="1" r:id="rId1"/>
    <sheet name="FÉRIAS - COMPRAS" sheetId="3" r:id="rId2"/>
    <sheet name="TABELA APOIO" sheetId="2" r:id="rId3"/>
  </sheets>
  <definedNames>
    <definedName name="acumulado_periodo">INVESTIMENTOS!$E$16</definedName>
    <definedName name="aporte">INVESTIMENTOS!$E$13</definedName>
    <definedName name="aporte_real">'FÉRIAS - COMPRAS'!$E$9</definedName>
    <definedName name="aporte1">'FÉRIAS - COMPRAS'!$E$12</definedName>
    <definedName name="aporte2">'FÉRIAS - COMPRAS'!$D$20</definedName>
    <definedName name="dividendos">INVESTIMENTOS!$E$17</definedName>
    <definedName name="meses_carro">'FÉRIAS - COMPRAS'!$D$24</definedName>
    <definedName name="meses_carro2">'FÉRIAS - COMPRAS'!$E$24</definedName>
    <definedName name="meses_ferias">'FÉRIAS - COMPRAS'!$E$14</definedName>
    <definedName name="objetivo_Ferias">'FÉRIAS - COMPRAS'!$E$13</definedName>
    <definedName name="objetivo2">'FÉRIAS - COMPRAS'!$D$21</definedName>
    <definedName name="patrimonio_carro1">'FÉRIAS - COMPRAS'!$D$26</definedName>
    <definedName name="patrimonio_carro2">'FÉRIAS - COMPRAS'!$E$26</definedName>
    <definedName name="patrimonio_ferias">'FÉRIAS - COMPRAS'!$E$16</definedName>
    <definedName name="perfil">INVESTIMENTOS!$E$7</definedName>
    <definedName name="qtd_anos">INVESTIMENTOS!$E$14</definedName>
    <definedName name="rendimento_carteira">INVESTIMENTOS!$E$9</definedName>
    <definedName name="salario">INVESTIMENTOS!$E$8</definedName>
    <definedName name="sugestao_invest">INVESTIMENTOS!$E$10</definedName>
    <definedName name="taxa_rendimento">INVESTIMENTOS!$E$15</definedName>
    <definedName name="veiculo">'FÉRIAS - COMPRAS'!$D$22</definedName>
    <definedName name="veiculo_depreciado">'FÉRIAS - COMPRAS'!$E$22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3" l="1"/>
  <c r="E14" i="3"/>
  <c r="D24" i="3" s="1"/>
  <c r="H25" i="2"/>
  <c r="F25" i="2"/>
  <c r="I28" i="2" s="1"/>
  <c r="F27" i="2"/>
  <c r="D23" i="3"/>
  <c r="E20" i="3"/>
  <c r="E8" i="3"/>
  <c r="F5" i="1" a="1"/>
  <c r="F5" i="1" s="1"/>
  <c r="F53" i="1"/>
  <c r="C44" i="1"/>
  <c r="D38" i="1"/>
  <c r="D39" i="1"/>
  <c r="D40" i="1"/>
  <c r="D41" i="1"/>
  <c r="D42" i="1"/>
  <c r="D37" i="1"/>
  <c r="A9" i="2"/>
  <c r="A10" i="2"/>
  <c r="A11" i="2"/>
  <c r="A12" i="2"/>
  <c r="A13" i="2"/>
  <c r="A14" i="2"/>
  <c r="A15" i="2"/>
  <c r="A16" i="2"/>
  <c r="A17" i="2"/>
  <c r="A18" i="2"/>
  <c r="A19" i="2"/>
  <c r="A8" i="2"/>
  <c r="A3" i="2"/>
  <c r="A4" i="2"/>
  <c r="A5" i="2"/>
  <c r="A6" i="2"/>
  <c r="A7" i="2"/>
  <c r="A2" i="2"/>
  <c r="D34" i="1"/>
  <c r="D21" i="1"/>
  <c r="E21" i="1" s="1"/>
  <c r="D22" i="1"/>
  <c r="E22" i="1" s="1"/>
  <c r="D23" i="1"/>
  <c r="E23" i="1" s="1"/>
  <c r="D24" i="1"/>
  <c r="E24" i="1" s="1"/>
  <c r="D20" i="1"/>
  <c r="E20" i="1" s="1"/>
  <c r="E16" i="1"/>
  <c r="E17" i="1" s="1"/>
  <c r="E10" i="1"/>
  <c r="D31" i="1" s="1"/>
  <c r="E31" i="1" s="1"/>
  <c r="E16" i="3" l="1"/>
  <c r="D26" i="3"/>
  <c r="E40" i="1"/>
  <c r="E39" i="1"/>
  <c r="E41" i="1"/>
  <c r="E37" i="1"/>
  <c r="E42" i="1"/>
  <c r="D30" i="1"/>
  <c r="E30" i="1" s="1"/>
  <c r="D29" i="1"/>
  <c r="E29" i="1" s="1"/>
  <c r="D27" i="1"/>
  <c r="E27" i="1" s="1"/>
  <c r="D28" i="1"/>
  <c r="E28" i="1" s="1"/>
  <c r="E38" i="1"/>
  <c r="E23" i="3" l="1"/>
  <c r="E24" i="3" s="1"/>
  <c r="E43" i="1"/>
  <c r="E26" i="3" l="1"/>
  <c r="E27" i="3" s="1"/>
  <c r="E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<sst xmlns="http://schemas.openxmlformats.org/spreadsheetml/2006/main" count="101" uniqueCount="55">
  <si>
    <t>Quanto investir por mês?</t>
  </si>
  <si>
    <t>Por quantos anos?</t>
  </si>
  <si>
    <t>CONFIGURAÇÕES</t>
  </si>
  <si>
    <t>Salário</t>
  </si>
  <si>
    <t>Rendimento da Carteira</t>
  </si>
  <si>
    <t>Sugestão de Investimento (30%)</t>
  </si>
  <si>
    <t>INVESTIMENTO MENSAL</t>
  </si>
  <si>
    <t>Dividendos por mês.?</t>
  </si>
  <si>
    <t>Patrimônio vai acumulado?</t>
  </si>
  <si>
    <t>Taxa de rendimento mensal?</t>
  </si>
  <si>
    <t>CENÁRIOS</t>
  </si>
  <si>
    <t>Quantos em 2 anos</t>
  </si>
  <si>
    <t>Quantos em 5 anos</t>
  </si>
  <si>
    <t>Quantos em 10 anos</t>
  </si>
  <si>
    <t>Quantos em 20 anos</t>
  </si>
  <si>
    <t>Quantos em 30 anos</t>
  </si>
  <si>
    <t>PATRIMÔNIO</t>
  </si>
  <si>
    <t>Dividendos</t>
  </si>
  <si>
    <t>Patrimônio</t>
  </si>
  <si>
    <t>PERFIL DE INVESTIDOR</t>
  </si>
  <si>
    <t>Conservador</t>
  </si>
  <si>
    <t>PAPEL</t>
  </si>
  <si>
    <t>TIJOLO</t>
  </si>
  <si>
    <t>HIBRIDO</t>
  </si>
  <si>
    <t>FOFs</t>
  </si>
  <si>
    <t>DESENVOLVIMENTO</t>
  </si>
  <si>
    <t>HOTELARIA</t>
  </si>
  <si>
    <t>TIPOS DE FIIS</t>
  </si>
  <si>
    <t>%</t>
  </si>
  <si>
    <t>VALOR A SER INVESTIDO</t>
  </si>
  <si>
    <t>PERCENTUAL</t>
  </si>
  <si>
    <t>VALORES</t>
  </si>
  <si>
    <t>Moderado</t>
  </si>
  <si>
    <t>Agressivo</t>
  </si>
  <si>
    <t>CENÁRIOS CASO INVISTA O VALOR SUGERIDO</t>
  </si>
  <si>
    <t>DIVIDENDOS</t>
  </si>
  <si>
    <t>INVESTIMENTOS EM FUNDOS IMOBILIÁRIOS</t>
  </si>
  <si>
    <t>Perfil de Investidor</t>
  </si>
  <si>
    <t>SALÁRIO</t>
  </si>
  <si>
    <t>SUGESTÃO DE GASTOS</t>
  </si>
  <si>
    <t>VALOR DE APORTE</t>
  </si>
  <si>
    <t>TAXA  DE RENDIMENTO MENSAL</t>
  </si>
  <si>
    <t xml:space="preserve">PATRIMÔNIO ACUMULADO </t>
  </si>
  <si>
    <t>OBJETIVO</t>
  </si>
  <si>
    <t xml:space="preserve">FÉRIAS PROGRAMADAS </t>
  </si>
  <si>
    <t>TOTAL DE MESES</t>
  </si>
  <si>
    <t>COMPRA DE CARRO NOVO</t>
  </si>
  <si>
    <t>VENDA CARRO EM USO</t>
  </si>
  <si>
    <t>VALOR REAL DE APORTE</t>
  </si>
  <si>
    <t>ATÉ 14 MESES</t>
  </si>
  <si>
    <t>OBJETIVO REAL</t>
  </si>
  <si>
    <r>
      <t xml:space="preserve">* </t>
    </r>
    <r>
      <rPr>
        <sz val="8"/>
        <color theme="1"/>
        <rFont val="Montserrat"/>
      </rPr>
      <t>Os  valores do objetivo (compra do Carro) foi considerado um aumento no bem novo e uma depreciação no bem usado</t>
    </r>
  </si>
  <si>
    <t>SOMA DOS PATRIMÔNIOS ACUMULADOS</t>
  </si>
  <si>
    <t>acumulado nos primeiros 14 meses tendo um valor menor ao objetivo real da coluna D devido a esse saldo</t>
  </si>
  <si>
    <r>
      <t>**</t>
    </r>
    <r>
      <rPr>
        <sz val="8"/>
        <color theme="1"/>
        <rFont val="Montserrat"/>
      </rPr>
      <t xml:space="preserve"> Entendendo</t>
    </r>
    <r>
      <rPr>
        <sz val="11"/>
        <color theme="1"/>
        <rFont val="Montserrat"/>
      </rPr>
      <t xml:space="preserve"> </t>
    </r>
    <r>
      <rPr>
        <sz val="8"/>
        <color theme="1"/>
        <rFont val="Montserrat"/>
      </rPr>
      <t>Objetivo Real da coluna "E" : Objetivo (valor do Bem) diminui o valor do carro em uso nemos o patrimônio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</si>
</sst>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  <numFmt numFmtId="168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ontserrat"/>
    </font>
    <font>
      <sz val="12"/>
      <color rgb="FF23282C"/>
      <name val="Montserrat"/>
    </font>
    <font>
      <b/>
      <sz val="12"/>
      <color theme="1"/>
      <name val="Montserrat"/>
    </font>
    <font>
      <sz val="12"/>
      <color theme="0"/>
      <name val="Montserrat"/>
    </font>
    <font>
      <b/>
      <sz val="12"/>
      <color theme="0"/>
      <name val="Montserrat"/>
    </font>
    <font>
      <u/>
      <sz val="11"/>
      <color theme="10"/>
      <name val="Calibri"/>
      <family val="2"/>
      <scheme val="minor"/>
    </font>
    <font>
      <sz val="12"/>
      <name val="Montserrat"/>
    </font>
    <font>
      <sz val="11"/>
      <color theme="1"/>
      <name val="Montserrat"/>
    </font>
    <font>
      <sz val="8"/>
      <color theme="1"/>
      <name val="Montserrat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4.9989318521683403E-2"/>
      </right>
      <top/>
      <bottom style="medium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  <border>
      <left style="medium">
        <color indexed="64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thin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1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1"/>
      </left>
      <right style="medium">
        <color theme="0" tint="-4.9989318521683403E-2"/>
      </right>
      <top style="medium">
        <color theme="0" tint="-4.9989318521683403E-2"/>
      </top>
      <bottom style="medium">
        <color theme="1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1"/>
      </bottom>
      <diagonal/>
    </border>
    <border>
      <left style="medium">
        <color theme="0" tint="-4.9989318521683403E-2"/>
      </left>
      <right style="medium">
        <color theme="1"/>
      </right>
      <top style="medium">
        <color theme="0" tint="-4.9989318521683403E-2"/>
      </top>
      <bottom style="medium">
        <color theme="1"/>
      </bottom>
      <diagonal/>
    </border>
    <border>
      <left style="medium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0" tint="-4.9989318521683403E-2"/>
      </right>
      <top/>
      <bottom style="medium">
        <color theme="1"/>
      </bottom>
      <diagonal/>
    </border>
    <border>
      <left style="medium">
        <color theme="1"/>
      </left>
      <right/>
      <top style="thin">
        <color theme="0" tint="-0.14996795556505021"/>
      </top>
      <bottom style="thin">
        <color theme="0" tint="-4.9989318521683403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theme="1"/>
      </right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4.9989318521683403E-2"/>
      </left>
      <right style="medium">
        <color theme="1"/>
      </right>
      <top style="medium">
        <color theme="0" tint="-4.9989318521683403E-2"/>
      </top>
      <bottom style="medium">
        <color auto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 tint="-0.14996795556505021"/>
      </bottom>
      <diagonal/>
    </border>
    <border>
      <left/>
      <right/>
      <top style="medium">
        <color theme="1"/>
      </top>
      <bottom style="thin">
        <color theme="0" tint="-0.14996795556505021"/>
      </bottom>
      <diagonal/>
    </border>
    <border>
      <left/>
      <right style="medium">
        <color theme="1"/>
      </right>
      <top style="medium">
        <color theme="1"/>
      </top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/>
      </right>
      <top style="medium">
        <color theme="1"/>
      </top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thin">
        <color theme="0" tint="-0.14996795556505021"/>
      </top>
      <bottom style="medium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1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14996795556505021"/>
      </top>
      <bottom style="medium">
        <color theme="1"/>
      </bottom>
      <diagonal/>
    </border>
    <border>
      <left style="thin">
        <color theme="0" tint="-4.9989318521683403E-2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0.14996795556505021"/>
      </top>
      <bottom style="thin">
        <color theme="0" tint="-4.9989318521683403E-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14999847407452621"/>
      </top>
      <bottom/>
      <diagonal/>
    </border>
    <border>
      <left/>
      <right style="medium">
        <color indexed="64"/>
      </right>
      <top style="thin">
        <color theme="0" tint="-0.14999847407452621"/>
      </top>
      <bottom/>
      <diagonal/>
    </border>
    <border>
      <left style="medium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984740745262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9" fontId="0" fillId="0" borderId="0" xfId="3" applyFont="1" applyAlignment="1">
      <alignment horizontal="center"/>
    </xf>
    <xf numFmtId="0" fontId="0" fillId="0" borderId="1" xfId="0" applyBorder="1"/>
    <xf numFmtId="0" fontId="2" fillId="0" borderId="1" xfId="0" applyFont="1" applyBorder="1"/>
    <xf numFmtId="9" fontId="0" fillId="0" borderId="1" xfId="3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left" indent="1"/>
    </xf>
    <xf numFmtId="0" fontId="2" fillId="0" borderId="10" xfId="0" applyFont="1" applyBorder="1"/>
    <xf numFmtId="165" fontId="2" fillId="0" borderId="0" xfId="0" applyNumberFormat="1" applyFont="1" applyAlignment="1">
      <alignment horizontal="center"/>
    </xf>
    <xf numFmtId="0" fontId="5" fillId="0" borderId="0" xfId="0" applyFont="1"/>
    <xf numFmtId="0" fontId="2" fillId="0" borderId="11" xfId="0" applyFont="1" applyBorder="1" applyAlignment="1">
      <alignment horizontal="left" indent="1"/>
    </xf>
    <xf numFmtId="0" fontId="2" fillId="0" borderId="12" xfId="0" applyFont="1" applyBorder="1"/>
    <xf numFmtId="0" fontId="2" fillId="0" borderId="14" xfId="0" applyFont="1" applyBorder="1"/>
    <xf numFmtId="0" fontId="2" fillId="4" borderId="6" xfId="0" applyFont="1" applyFill="1" applyBorder="1" applyAlignment="1">
      <alignment horizontal="left" indent="1"/>
    </xf>
    <xf numFmtId="0" fontId="2" fillId="4" borderId="8" xfId="0" applyFont="1" applyFill="1" applyBorder="1"/>
    <xf numFmtId="165" fontId="2" fillId="4" borderId="7" xfId="0" applyNumberFormat="1" applyFont="1" applyFill="1" applyBorder="1" applyAlignment="1">
      <alignment horizontal="center"/>
    </xf>
    <xf numFmtId="0" fontId="3" fillId="0" borderId="24" xfId="0" applyFont="1" applyBorder="1" applyAlignment="1">
      <alignment horizontal="left" vertical="center" wrapText="1" indent="1"/>
    </xf>
    <xf numFmtId="0" fontId="3" fillId="4" borderId="26" xfId="0" applyFont="1" applyFill="1" applyBorder="1" applyAlignment="1">
      <alignment horizontal="left" vertical="center" wrapText="1" indent="1"/>
    </xf>
    <xf numFmtId="0" fontId="2" fillId="4" borderId="27" xfId="0" applyFont="1" applyFill="1" applyBorder="1"/>
    <xf numFmtId="0" fontId="2" fillId="4" borderId="9" xfId="0" applyFont="1" applyFill="1" applyBorder="1"/>
    <xf numFmtId="0" fontId="3" fillId="0" borderId="28" xfId="0" applyFont="1" applyBorder="1" applyAlignment="1">
      <alignment horizontal="left" vertical="center" wrapText="1" indent="1"/>
    </xf>
    <xf numFmtId="0" fontId="2" fillId="0" borderId="29" xfId="0" applyFont="1" applyBorder="1"/>
    <xf numFmtId="10" fontId="2" fillId="4" borderId="31" xfId="3" applyNumberFormat="1" applyFont="1" applyFill="1" applyBorder="1" applyAlignment="1">
      <alignment horizontal="center"/>
    </xf>
    <xf numFmtId="0" fontId="3" fillId="4" borderId="32" xfId="0" applyFont="1" applyFill="1" applyBorder="1" applyAlignment="1">
      <alignment horizontal="left" vertical="center" wrapText="1" indent="1"/>
    </xf>
    <xf numFmtId="165" fontId="2" fillId="4" borderId="33" xfId="0" applyNumberFormat="1" applyFont="1" applyFill="1" applyBorder="1" applyAlignment="1">
      <alignment horizontal="center"/>
    </xf>
    <xf numFmtId="165" fontId="2" fillId="4" borderId="31" xfId="0" applyNumberFormat="1" applyFont="1" applyFill="1" applyBorder="1" applyAlignment="1">
      <alignment horizontal="center"/>
    </xf>
    <xf numFmtId="9" fontId="2" fillId="0" borderId="34" xfId="3" applyFont="1" applyFill="1" applyBorder="1" applyAlignment="1">
      <alignment horizontal="center"/>
    </xf>
    <xf numFmtId="8" fontId="2" fillId="0" borderId="0" xfId="0" applyNumberFormat="1" applyFont="1"/>
    <xf numFmtId="0" fontId="6" fillId="6" borderId="16" xfId="0" applyFont="1" applyFill="1" applyBorder="1"/>
    <xf numFmtId="0" fontId="6" fillId="6" borderId="17" xfId="0" applyFont="1" applyFill="1" applyBorder="1"/>
    <xf numFmtId="165" fontId="6" fillId="6" borderId="18" xfId="0" applyNumberFormat="1" applyFont="1" applyFill="1" applyBorder="1" applyAlignment="1">
      <alignment horizontal="center"/>
    </xf>
    <xf numFmtId="8" fontId="2" fillId="4" borderId="15" xfId="0" applyNumberFormat="1" applyFont="1" applyFill="1" applyBorder="1"/>
    <xf numFmtId="165" fontId="2" fillId="4" borderId="20" xfId="0" applyNumberFormat="1" applyFont="1" applyFill="1" applyBorder="1" applyAlignment="1">
      <alignment horizontal="center"/>
    </xf>
    <xf numFmtId="8" fontId="2" fillId="4" borderId="22" xfId="0" applyNumberFormat="1" applyFont="1" applyFill="1" applyBorder="1"/>
    <xf numFmtId="165" fontId="2" fillId="4" borderId="23" xfId="0" applyNumberFormat="1" applyFont="1" applyFill="1" applyBorder="1" applyAlignment="1">
      <alignment horizontal="center"/>
    </xf>
    <xf numFmtId="165" fontId="2" fillId="4" borderId="35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165" fontId="4" fillId="3" borderId="18" xfId="0" applyNumberFormat="1" applyFont="1" applyFill="1" applyBorder="1" applyAlignment="1">
      <alignment horizontal="left"/>
    </xf>
    <xf numFmtId="0" fontId="2" fillId="0" borderId="0" xfId="0" applyFont="1" applyAlignment="1">
      <alignment vertical="center"/>
    </xf>
    <xf numFmtId="10" fontId="2" fillId="0" borderId="13" xfId="3" applyNumberFormat="1" applyFont="1" applyFill="1" applyBorder="1" applyAlignment="1" applyProtection="1">
      <alignment horizontal="center"/>
      <protection locked="0"/>
    </xf>
    <xf numFmtId="165" fontId="2" fillId="0" borderId="25" xfId="2" applyNumberFormat="1" applyFont="1" applyFill="1" applyBorder="1" applyAlignment="1" applyProtection="1">
      <alignment horizontal="center"/>
      <protection locked="0"/>
    </xf>
    <xf numFmtId="0" fontId="2" fillId="0" borderId="30" xfId="1" applyNumberFormat="1" applyFont="1" applyFill="1" applyBorder="1" applyAlignment="1" applyProtection="1">
      <alignment horizontal="center"/>
      <protection locked="0"/>
    </xf>
    <xf numFmtId="9" fontId="0" fillId="0" borderId="0" xfId="3" applyFont="1"/>
    <xf numFmtId="9" fontId="2" fillId="0" borderId="0" xfId="3" applyFont="1" applyFill="1" applyBorder="1" applyAlignment="1">
      <alignment horizontal="center"/>
    </xf>
    <xf numFmtId="0" fontId="6" fillId="5" borderId="40" xfId="0" applyFont="1" applyFill="1" applyBorder="1"/>
    <xf numFmtId="0" fontId="6" fillId="5" borderId="41" xfId="0" applyFont="1" applyFill="1" applyBorder="1"/>
    <xf numFmtId="165" fontId="6" fillId="5" borderId="42" xfId="0" applyNumberFormat="1" applyFont="1" applyFill="1" applyBorder="1" applyAlignment="1">
      <alignment horizontal="center"/>
    </xf>
    <xf numFmtId="165" fontId="2" fillId="0" borderId="44" xfId="0" applyNumberFormat="1" applyFont="1" applyBorder="1" applyAlignment="1">
      <alignment horizontal="center"/>
    </xf>
    <xf numFmtId="9" fontId="2" fillId="0" borderId="46" xfId="3" applyFont="1" applyFill="1" applyBorder="1" applyAlignment="1">
      <alignment horizontal="center"/>
    </xf>
    <xf numFmtId="165" fontId="2" fillId="0" borderId="47" xfId="0" applyNumberFormat="1" applyFont="1" applyBorder="1" applyAlignment="1">
      <alignment horizontal="center"/>
    </xf>
    <xf numFmtId="165" fontId="2" fillId="0" borderId="48" xfId="2" applyNumberFormat="1" applyFont="1" applyFill="1" applyBorder="1" applyAlignment="1" applyProtection="1">
      <alignment horizontal="center"/>
      <protection locked="0"/>
    </xf>
    <xf numFmtId="0" fontId="2" fillId="0" borderId="49" xfId="0" applyFont="1" applyBorder="1" applyAlignment="1">
      <alignment horizontal="left" indent="1"/>
    </xf>
    <xf numFmtId="0" fontId="2" fillId="0" borderId="50" xfId="0" applyFont="1" applyBorder="1"/>
    <xf numFmtId="165" fontId="2" fillId="0" borderId="0" xfId="2" applyNumberFormat="1" applyFont="1" applyFill="1" applyBorder="1" applyAlignment="1" applyProtection="1">
      <alignment horizontal="center"/>
      <protection locked="0"/>
    </xf>
    <xf numFmtId="0" fontId="2" fillId="0" borderId="0" xfId="1" applyNumberFormat="1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10" fontId="2" fillId="0" borderId="0" xfId="3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4" borderId="19" xfId="0" applyFont="1" applyFill="1" applyBorder="1" applyAlignment="1">
      <alignment horizontal="left" indent="1"/>
    </xf>
    <xf numFmtId="0" fontId="2" fillId="4" borderId="21" xfId="0" applyFont="1" applyFill="1" applyBorder="1" applyAlignment="1">
      <alignment horizontal="left" indent="1"/>
    </xf>
    <xf numFmtId="0" fontId="2" fillId="0" borderId="43" xfId="0" applyFont="1" applyBorder="1" applyAlignment="1">
      <alignment horizontal="left" indent="1"/>
    </xf>
    <xf numFmtId="0" fontId="2" fillId="0" borderId="45" xfId="0" applyFont="1" applyBorder="1" applyAlignment="1">
      <alignment horizontal="left" indent="1"/>
    </xf>
    <xf numFmtId="0" fontId="2" fillId="4" borderId="26" xfId="0" applyFont="1" applyFill="1" applyBorder="1" applyAlignment="1">
      <alignment horizontal="right"/>
    </xf>
    <xf numFmtId="165" fontId="2" fillId="4" borderId="36" xfId="0" applyNumberFormat="1" applyFont="1" applyFill="1" applyBorder="1" applyAlignment="1">
      <alignment horizontal="left"/>
    </xf>
    <xf numFmtId="0" fontId="4" fillId="3" borderId="16" xfId="0" applyFont="1" applyFill="1" applyBorder="1" applyAlignment="1">
      <alignment horizontal="center"/>
    </xf>
    <xf numFmtId="165" fontId="8" fillId="0" borderId="51" xfId="2" applyNumberFormat="1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165" fontId="7" fillId="0" borderId="0" xfId="4" applyNumberFormat="1" applyAlignment="1">
      <alignment horizontal="center"/>
    </xf>
    <xf numFmtId="165" fontId="2" fillId="0" borderId="0" xfId="2" applyNumberFormat="1" applyFont="1" applyFill="1" applyBorder="1" applyAlignment="1" applyProtection="1">
      <alignment horizontal="center" vertical="center" wrapText="1"/>
    </xf>
    <xf numFmtId="10" fontId="0" fillId="0" borderId="0" xfId="3" applyNumberFormat="1" applyFont="1"/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center"/>
    </xf>
    <xf numFmtId="0" fontId="9" fillId="0" borderId="0" xfId="0" applyFont="1"/>
    <xf numFmtId="165" fontId="9" fillId="0" borderId="0" xfId="0" applyNumberFormat="1" applyFont="1" applyAlignment="1">
      <alignment horizontal="center"/>
    </xf>
    <xf numFmtId="8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left" indent="2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9" fillId="0" borderId="5" xfId="0" applyFont="1" applyBorder="1" applyAlignment="1">
      <alignment horizontal="left" indent="2"/>
    </xf>
    <xf numFmtId="0" fontId="9" fillId="0" borderId="0" xfId="0" applyFont="1" applyBorder="1"/>
    <xf numFmtId="165" fontId="9" fillId="0" borderId="52" xfId="0" applyNumberFormat="1" applyFont="1" applyBorder="1" applyAlignment="1">
      <alignment horizontal="center"/>
    </xf>
    <xf numFmtId="0" fontId="9" fillId="0" borderId="6" xfId="0" applyFont="1" applyBorder="1" applyAlignment="1">
      <alignment horizontal="left" indent="2"/>
    </xf>
    <xf numFmtId="0" fontId="9" fillId="0" borderId="1" xfId="0" applyFont="1" applyBorder="1"/>
    <xf numFmtId="0" fontId="9" fillId="0" borderId="53" xfId="0" applyFont="1" applyBorder="1" applyAlignment="1">
      <alignment horizontal="left" indent="2"/>
    </xf>
    <xf numFmtId="0" fontId="9" fillId="0" borderId="54" xfId="0" applyFont="1" applyBorder="1"/>
    <xf numFmtId="165" fontId="9" fillId="0" borderId="55" xfId="0" applyNumberFormat="1" applyFont="1" applyBorder="1" applyAlignment="1">
      <alignment horizontal="center"/>
    </xf>
    <xf numFmtId="165" fontId="9" fillId="0" borderId="56" xfId="0" applyNumberFormat="1" applyFont="1" applyBorder="1" applyAlignment="1">
      <alignment horizontal="center"/>
    </xf>
    <xf numFmtId="165" fontId="9" fillId="0" borderId="57" xfId="0" applyNumberFormat="1" applyFont="1" applyBorder="1" applyAlignment="1">
      <alignment horizontal="center"/>
    </xf>
    <xf numFmtId="165" fontId="9" fillId="0" borderId="58" xfId="0" applyNumberFormat="1" applyFont="1" applyBorder="1" applyAlignment="1">
      <alignment horizontal="center"/>
    </xf>
    <xf numFmtId="165" fontId="9" fillId="0" borderId="59" xfId="0" applyNumberFormat="1" applyFont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165" fontId="9" fillId="0" borderId="60" xfId="0" applyNumberFormat="1" applyFont="1" applyBorder="1" applyAlignment="1">
      <alignment horizontal="center"/>
    </xf>
    <xf numFmtId="0" fontId="9" fillId="4" borderId="5" xfId="0" applyFont="1" applyFill="1" applyBorder="1" applyAlignment="1">
      <alignment horizontal="left" indent="2"/>
    </xf>
    <xf numFmtId="0" fontId="9" fillId="4" borderId="53" xfId="0" applyFont="1" applyFill="1" applyBorder="1" applyAlignment="1">
      <alignment horizontal="left" indent="2"/>
    </xf>
    <xf numFmtId="165" fontId="9" fillId="4" borderId="55" xfId="0" applyNumberFormat="1" applyFont="1" applyFill="1" applyBorder="1" applyAlignment="1">
      <alignment horizontal="center"/>
    </xf>
    <xf numFmtId="0" fontId="9" fillId="4" borderId="61" xfId="0" applyFont="1" applyFill="1" applyBorder="1" applyAlignment="1">
      <alignment horizontal="left" indent="2"/>
    </xf>
    <xf numFmtId="0" fontId="9" fillId="4" borderId="6" xfId="0" applyFont="1" applyFill="1" applyBorder="1" applyAlignment="1">
      <alignment horizontal="left" indent="2"/>
    </xf>
    <xf numFmtId="8" fontId="9" fillId="4" borderId="7" xfId="0" applyNumberFormat="1" applyFont="1" applyFill="1" applyBorder="1" applyAlignment="1">
      <alignment horizontal="center"/>
    </xf>
    <xf numFmtId="0" fontId="9" fillId="4" borderId="63" xfId="0" applyFont="1" applyFill="1" applyBorder="1" applyAlignment="1">
      <alignment horizontal="left" indent="2"/>
    </xf>
    <xf numFmtId="8" fontId="9" fillId="4" borderId="64" xfId="0" applyNumberFormat="1" applyFont="1" applyFill="1" applyBorder="1" applyAlignment="1">
      <alignment horizontal="center"/>
    </xf>
    <xf numFmtId="8" fontId="9" fillId="4" borderId="66" xfId="0" applyNumberFormat="1" applyFont="1" applyFill="1" applyBorder="1" applyAlignment="1">
      <alignment horizontal="center"/>
    </xf>
    <xf numFmtId="165" fontId="9" fillId="4" borderId="67" xfId="0" applyNumberFormat="1" applyFont="1" applyFill="1" applyBorder="1" applyAlignment="1">
      <alignment horizontal="center"/>
    </xf>
    <xf numFmtId="165" fontId="9" fillId="4" borderId="68" xfId="0" applyNumberFormat="1" applyFont="1" applyFill="1" applyBorder="1" applyAlignment="1">
      <alignment horizontal="center"/>
    </xf>
    <xf numFmtId="0" fontId="9" fillId="4" borderId="8" xfId="0" applyFont="1" applyFill="1" applyBorder="1"/>
    <xf numFmtId="8" fontId="9" fillId="4" borderId="7" xfId="3" applyNumberFormat="1" applyFont="1" applyFill="1" applyBorder="1" applyAlignment="1">
      <alignment horizontal="center"/>
    </xf>
    <xf numFmtId="0" fontId="9" fillId="4" borderId="9" xfId="0" applyFont="1" applyFill="1" applyBorder="1"/>
    <xf numFmtId="10" fontId="9" fillId="4" borderId="64" xfId="3" applyNumberFormat="1" applyFont="1" applyFill="1" applyBorder="1" applyAlignment="1">
      <alignment horizontal="center"/>
    </xf>
    <xf numFmtId="0" fontId="9" fillId="4" borderId="54" xfId="0" applyFont="1" applyFill="1" applyBorder="1"/>
    <xf numFmtId="165" fontId="9" fillId="4" borderId="69" xfId="0" applyNumberFormat="1" applyFont="1" applyFill="1" applyBorder="1" applyAlignment="1">
      <alignment horizontal="center"/>
    </xf>
    <xf numFmtId="0" fontId="4" fillId="8" borderId="4" xfId="0" applyFont="1" applyFill="1" applyBorder="1" applyAlignment="1">
      <alignment horizontal="left"/>
    </xf>
    <xf numFmtId="8" fontId="9" fillId="0" borderId="0" xfId="0" applyNumberFormat="1" applyFont="1"/>
    <xf numFmtId="165" fontId="9" fillId="4" borderId="65" xfId="0" applyNumberFormat="1" applyFont="1" applyFill="1" applyBorder="1" applyAlignment="1">
      <alignment horizontal="center"/>
    </xf>
    <xf numFmtId="165" fontId="9" fillId="4" borderId="62" xfId="0" applyNumberFormat="1" applyFont="1" applyFill="1" applyBorder="1" applyAlignment="1">
      <alignment horizontal="center"/>
    </xf>
    <xf numFmtId="168" fontId="9" fillId="4" borderId="70" xfId="3" applyNumberFormat="1" applyFont="1" applyFill="1" applyBorder="1" applyAlignment="1">
      <alignment horizontal="center"/>
    </xf>
    <xf numFmtId="168" fontId="9" fillId="4" borderId="52" xfId="3" applyNumberFormat="1" applyFont="1" applyFill="1" applyBorder="1" applyAlignment="1">
      <alignment horizontal="center"/>
    </xf>
    <xf numFmtId="0" fontId="9" fillId="4" borderId="64" xfId="0" applyFont="1" applyFill="1" applyBorder="1" applyAlignment="1">
      <alignment horizontal="center"/>
    </xf>
    <xf numFmtId="0" fontId="9" fillId="4" borderId="66" xfId="0" applyFont="1" applyFill="1" applyBorder="1" applyAlignment="1">
      <alignment horizontal="center"/>
    </xf>
    <xf numFmtId="0" fontId="9" fillId="4" borderId="71" xfId="0" applyFont="1" applyFill="1" applyBorder="1"/>
    <xf numFmtId="0" fontId="9" fillId="4" borderId="72" xfId="0" applyFont="1" applyFill="1" applyBorder="1" applyAlignment="1">
      <alignment horizontal="center"/>
    </xf>
  </cellXfs>
  <cellStyles count="5">
    <cellStyle name="Hiperlink" xfId="4" builtinId="8"/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0848305542292"/>
          <c:y val="0.19695913736695225"/>
          <c:w val="0.67402075979864373"/>
          <c:h val="0.5150956436567434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B1-428A-A729-9ED059A9C9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B1-428A-A729-9ED059A9C9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B1-428A-A729-9ED059A9C9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EB1-428A-A729-9ED059A9C9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EB1-428A-A729-9ED059A9C9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EB1-428A-A729-9ED059A9C9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INVESTIMENTOS!$C$37:$C$42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INVESTIMENTOS!$D$37:$D$42</c:f>
              <c:numCache>
                <c:formatCode>0%</c:formatCode>
                <c:ptCount val="6"/>
                <c:pt idx="0">
                  <c:v>0.3</c:v>
                </c:pt>
                <c:pt idx="1">
                  <c:v>0.4</c:v>
                </c:pt>
                <c:pt idx="2">
                  <c:v>0.2</c:v>
                </c:pt>
                <c:pt idx="3">
                  <c:v>0.05</c:v>
                </c:pt>
                <c:pt idx="4">
                  <c:v>0.05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C-4140-847D-B144CC1468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991</xdr:colOff>
      <xdr:row>43</xdr:row>
      <xdr:rowOff>196056</xdr:rowOff>
    </xdr:from>
    <xdr:to>
      <xdr:col>5</xdr:col>
      <xdr:colOff>0</xdr:colOff>
      <xdr:row>54</xdr:row>
      <xdr:rowOff>9923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71BBF6C-10F2-2F76-BD88-0DF913922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674685</xdr:colOff>
      <xdr:row>0</xdr:row>
      <xdr:rowOff>9920</xdr:rowOff>
    </xdr:from>
    <xdr:to>
      <xdr:col>5</xdr:col>
      <xdr:colOff>109138</xdr:colOff>
      <xdr:row>4</xdr:row>
      <xdr:rowOff>31351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1B12A9B-90D7-FCFB-4EDA-C311D654FB09}"/>
            </a:ext>
          </a:extLst>
        </xdr:cNvPr>
        <xdr:cNvGrpSpPr/>
      </xdr:nvGrpSpPr>
      <xdr:grpSpPr>
        <a:xfrm>
          <a:off x="1458513" y="9920"/>
          <a:ext cx="6627813" cy="1092994"/>
          <a:chOff x="1200544" y="148827"/>
          <a:chExt cx="6449220" cy="1092994"/>
        </a:xfrm>
        <a:effectLst/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3D04AB83-E1BD-2F39-0030-2CD636B96233}"/>
              </a:ext>
            </a:extLst>
          </xdr:cNvPr>
          <xdr:cNvSpPr/>
        </xdr:nvSpPr>
        <xdr:spPr>
          <a:xfrm>
            <a:off x="1200544" y="148827"/>
            <a:ext cx="6449220" cy="1092994"/>
          </a:xfrm>
          <a:prstGeom prst="roundRect">
            <a:avLst/>
          </a:prstGeom>
          <a:solidFill>
            <a:schemeClr val="bg2">
              <a:lumMod val="50000"/>
            </a:schemeClr>
          </a:solidFill>
          <a:effectLst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600" b="1">
                <a:solidFill>
                  <a:schemeClr val="bg1"/>
                </a:solidFill>
              </a:rPr>
              <a:t>WS INVESTIMENTOS</a:t>
            </a:r>
          </a:p>
        </xdr:txBody>
      </xdr:sp>
      <xdr:pic>
        <xdr:nvPicPr>
          <xdr:cNvPr id="4" name="Gráfico 3" descr="Gráfico de barras com tendência ascendente com preenchimento sólido">
            <a:extLst>
              <a:ext uri="{FF2B5EF4-FFF2-40B4-BE49-F238E27FC236}">
                <a16:creationId xmlns:a16="http://schemas.microsoft.com/office/drawing/2014/main" id="{9808D103-73FF-ECAD-2B12-7737D9EDAE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88282" y="406798"/>
            <a:ext cx="654844" cy="65484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781047</xdr:colOff>
      <xdr:row>0</xdr:row>
      <xdr:rowOff>0</xdr:rowOff>
    </xdr:from>
    <xdr:to>
      <xdr:col>4</xdr:col>
      <xdr:colOff>1397527</xdr:colOff>
      <xdr:row>4</xdr:row>
      <xdr:rowOff>34661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C94CD886-22B4-6E1E-BEB9-2D5C96879923}"/>
            </a:ext>
          </a:extLst>
        </xdr:cNvPr>
        <xdr:cNvGrpSpPr/>
      </xdr:nvGrpSpPr>
      <xdr:grpSpPr>
        <a:xfrm>
          <a:off x="1564214" y="0"/>
          <a:ext cx="6627813" cy="1092994"/>
          <a:chOff x="1553631" y="0"/>
          <a:chExt cx="6627813" cy="1092994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77ACB33-67F2-BBB1-624F-D9305C736A07}"/>
              </a:ext>
            </a:extLst>
          </xdr:cNvPr>
          <xdr:cNvSpPr/>
        </xdr:nvSpPr>
        <xdr:spPr>
          <a:xfrm>
            <a:off x="1553631" y="0"/>
            <a:ext cx="6627813" cy="1092994"/>
          </a:xfrm>
          <a:prstGeom prst="roundRect">
            <a:avLst/>
          </a:prstGeom>
          <a:solidFill>
            <a:schemeClr val="bg2">
              <a:lumMod val="50000"/>
            </a:schemeClr>
          </a:solidFill>
          <a:effectLst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</a:rPr>
              <a:t>COMPRAS</a:t>
            </a:r>
            <a:r>
              <a:rPr lang="pt-BR" sz="2000" b="1" baseline="0">
                <a:solidFill>
                  <a:schemeClr val="bg1"/>
                </a:solidFill>
              </a:rPr>
              <a:t> PROGRAMADAS A LONGO PRAZO</a:t>
            </a:r>
            <a:endParaRPr lang="pt-BR" sz="2000" b="1">
              <a:solidFill>
                <a:schemeClr val="bg1"/>
              </a:solidFill>
            </a:endParaRPr>
          </a:p>
        </xdr:txBody>
      </xdr:sp>
      <xdr:pic>
        <xdr:nvPicPr>
          <xdr:cNvPr id="4" name="Gráfico 3" descr="Carrinho de compras com preenchimento sólido">
            <a:extLst>
              <a:ext uri="{FF2B5EF4-FFF2-40B4-BE49-F238E27FC236}">
                <a16:creationId xmlns:a16="http://schemas.microsoft.com/office/drawing/2014/main" id="{C820ABF2-4F26-84A5-5693-EFB2007CC2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903586" y="116101"/>
            <a:ext cx="572914" cy="78824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C131-24EF-4267-875F-93762936F714}">
  <sheetPr codeName="Planilha1"/>
  <dimension ref="A1:XFC184"/>
  <sheetViews>
    <sheetView showGridLines="0" showRowColHeaders="0" tabSelected="1" zoomScale="96" workbookViewId="0">
      <selection activeCell="B18" sqref="B18"/>
    </sheetView>
  </sheetViews>
  <sheetFormatPr defaultColWidth="0" defaultRowHeight="21" zeroHeight="1" x14ac:dyDescent="0.5"/>
  <cols>
    <col min="1" max="2" width="11.7109375" style="1" customWidth="1"/>
    <col min="3" max="3" width="55.85546875" style="1" customWidth="1"/>
    <col min="4" max="4" width="21.42578125" style="1" customWidth="1"/>
    <col min="5" max="5" width="18.85546875" style="6" customWidth="1"/>
    <col min="6" max="6" width="11.7109375" style="6" customWidth="1"/>
    <col min="7" max="7" width="11.7109375" style="1" customWidth="1"/>
    <col min="8" max="16383" width="9.140625" style="1" hidden="1"/>
    <col min="16384" max="16384" width="0.7109375" style="1" hidden="1" customWidth="1"/>
  </cols>
  <sheetData>
    <row r="1" spans="3:7" x14ac:dyDescent="0.5"/>
    <row r="2" spans="3:7" x14ac:dyDescent="0.5"/>
    <row r="3" spans="3:7" x14ac:dyDescent="0.5"/>
    <row r="4" spans="3:7" x14ac:dyDescent="0.5"/>
    <row r="5" spans="3:7" ht="8.25" customHeight="1" thickBot="1" x14ac:dyDescent="0.55000000000000004">
      <c r="F5" s="80" t="str" cm="1">
        <f t="array" ref="F5">_xlfn.IFS(perfil="Conservador","Este perfil prioriza segurança e liquidez",perfil="Moderado","Este perfil busca  equilíbrio  entre  segurança e   rentabilidade",perfil="Agressivo","Este perfil foca totalmente na Rentabilidade")</f>
        <v>Este perfil prioriza segurança e liquidez</v>
      </c>
      <c r="G5" s="80"/>
    </row>
    <row r="6" spans="3:7" x14ac:dyDescent="0.5">
      <c r="C6" s="70" t="s">
        <v>2</v>
      </c>
      <c r="D6" s="71"/>
      <c r="E6" s="72"/>
      <c r="F6" s="80"/>
      <c r="G6" s="80"/>
    </row>
    <row r="7" spans="3:7" x14ac:dyDescent="0.5">
      <c r="C7" s="53" t="s">
        <v>37</v>
      </c>
      <c r="D7" s="54"/>
      <c r="E7" s="69" t="s">
        <v>20</v>
      </c>
      <c r="F7" s="80"/>
      <c r="G7" s="80"/>
    </row>
    <row r="8" spans="3:7" ht="21.75" thickBot="1" x14ac:dyDescent="0.55000000000000004">
      <c r="C8" s="7" t="s">
        <v>3</v>
      </c>
      <c r="D8" s="8"/>
      <c r="E8" s="52">
        <v>8540</v>
      </c>
      <c r="F8" s="80"/>
      <c r="G8" s="80"/>
    </row>
    <row r="9" spans="3:7" ht="21.75" thickBot="1" x14ac:dyDescent="0.55000000000000004">
      <c r="C9" s="11" t="s">
        <v>4</v>
      </c>
      <c r="D9" s="12"/>
      <c r="E9" s="41">
        <v>8.5000000000000006E-3</v>
      </c>
      <c r="F9" s="80"/>
      <c r="G9" s="80"/>
    </row>
    <row r="10" spans="3:7" ht="21.75" thickBot="1" x14ac:dyDescent="0.55000000000000004">
      <c r="C10" s="14" t="s">
        <v>5</v>
      </c>
      <c r="D10" s="15"/>
      <c r="E10" s="16">
        <f>salario*30%</f>
        <v>2562</v>
      </c>
      <c r="F10" s="9"/>
    </row>
    <row r="11" spans="3:7" ht="21.75" thickBot="1" x14ac:dyDescent="0.55000000000000004"/>
    <row r="12" spans="3:7" x14ac:dyDescent="0.5">
      <c r="C12" s="73" t="s">
        <v>6</v>
      </c>
      <c r="D12" s="74"/>
      <c r="E12" s="75"/>
      <c r="F12" s="57"/>
    </row>
    <row r="13" spans="3:7" x14ac:dyDescent="0.5">
      <c r="C13" s="17" t="s">
        <v>0</v>
      </c>
      <c r="D13" s="13"/>
      <c r="E13" s="42">
        <v>2000</v>
      </c>
      <c r="F13" s="55"/>
    </row>
    <row r="14" spans="3:7" x14ac:dyDescent="0.5">
      <c r="C14" s="21" t="s">
        <v>1</v>
      </c>
      <c r="D14" s="22"/>
      <c r="E14" s="43">
        <v>5</v>
      </c>
      <c r="F14" s="56"/>
    </row>
    <row r="15" spans="3:7" x14ac:dyDescent="0.5">
      <c r="C15" s="24" t="s">
        <v>9</v>
      </c>
      <c r="D15" s="20"/>
      <c r="E15" s="23">
        <v>1.0789999999999999E-2</v>
      </c>
      <c r="F15" s="58"/>
    </row>
    <row r="16" spans="3:7" x14ac:dyDescent="0.5">
      <c r="C16" s="24" t="s">
        <v>8</v>
      </c>
      <c r="D16" s="20"/>
      <c r="E16" s="26">
        <f>FV(taxa_rendimento,qtd_anos*12,aporte*-1)</f>
        <v>167553.82799697528</v>
      </c>
      <c r="F16" s="9"/>
    </row>
    <row r="17" spans="2:6" ht="21.75" thickBot="1" x14ac:dyDescent="0.55000000000000004">
      <c r="C17" s="18" t="s">
        <v>7</v>
      </c>
      <c r="D17" s="19"/>
      <c r="E17" s="25">
        <f>acumulado_periodo*rendimento_carteira</f>
        <v>1424.2075379742901</v>
      </c>
      <c r="F17" s="9"/>
    </row>
    <row r="18" spans="2:6" ht="21.75" thickBot="1" x14ac:dyDescent="0.55000000000000004">
      <c r="E18" s="9"/>
      <c r="F18" s="9"/>
    </row>
    <row r="19" spans="2:6" s="38" customFormat="1" ht="21.75" thickBot="1" x14ac:dyDescent="0.55000000000000004">
      <c r="C19" s="68" t="s">
        <v>10</v>
      </c>
      <c r="D19" s="37" t="s">
        <v>18</v>
      </c>
      <c r="E19" s="39" t="s">
        <v>17</v>
      </c>
      <c r="F19" s="59"/>
    </row>
    <row r="20" spans="2:6" ht="21.75" thickBot="1" x14ac:dyDescent="0.55000000000000004">
      <c r="B20" s="10">
        <v>2</v>
      </c>
      <c r="C20" s="62" t="s">
        <v>11</v>
      </c>
      <c r="D20" s="32">
        <f>FV(taxa_rendimento,B20*12,aporte*-1)</f>
        <v>54455.254595290433</v>
      </c>
      <c r="E20" s="33">
        <f>D20*rendimento_carteira</f>
        <v>462.86966405996873</v>
      </c>
      <c r="F20" s="9"/>
    </row>
    <row r="21" spans="2:6" ht="21.75" thickBot="1" x14ac:dyDescent="0.55000000000000004">
      <c r="B21" s="10">
        <v>5</v>
      </c>
      <c r="C21" s="62" t="s">
        <v>12</v>
      </c>
      <c r="D21" s="32">
        <f>FV(taxa_rendimento,B21*12,aporte*-1)</f>
        <v>167553.82799697528</v>
      </c>
      <c r="E21" s="33">
        <f>D21*rendimento_carteira</f>
        <v>1424.2075379742901</v>
      </c>
      <c r="F21" s="9"/>
    </row>
    <row r="22" spans="2:6" ht="21.75" thickBot="1" x14ac:dyDescent="0.55000000000000004">
      <c r="B22" s="10">
        <v>10</v>
      </c>
      <c r="C22" s="62" t="s">
        <v>13</v>
      </c>
      <c r="D22" s="32">
        <f>FV(taxa_rendimento,B22*12,aporte*-1)</f>
        <v>486568.42506034439</v>
      </c>
      <c r="E22" s="33">
        <f>D22*rendimento_carteira</f>
        <v>4135.8316130129278</v>
      </c>
      <c r="F22" s="9"/>
    </row>
    <row r="23" spans="2:6" ht="21.75" thickBot="1" x14ac:dyDescent="0.55000000000000004">
      <c r="B23" s="10">
        <v>20</v>
      </c>
      <c r="C23" s="62" t="s">
        <v>14</v>
      </c>
      <c r="D23" s="32">
        <f>FV(taxa_rendimento,B23*12,aporte*-1)</f>
        <v>2250396.800194161</v>
      </c>
      <c r="E23" s="33">
        <f>D23*rendimento_carteira</f>
        <v>19128.37280165037</v>
      </c>
      <c r="F23" s="9"/>
    </row>
    <row r="24" spans="2:6" ht="21.75" thickBot="1" x14ac:dyDescent="0.55000000000000004">
      <c r="B24" s="10">
        <v>30</v>
      </c>
      <c r="C24" s="63" t="s">
        <v>15</v>
      </c>
      <c r="D24" s="34">
        <f>FV(taxa_rendimento,B24*12,aporte*-1)</f>
        <v>8644339.3100094292</v>
      </c>
      <c r="E24" s="35">
        <f>D24*rendimento_carteira</f>
        <v>73476.884135080152</v>
      </c>
      <c r="F24" s="9"/>
    </row>
    <row r="25" spans="2:6" ht="21.75" thickBot="1" x14ac:dyDescent="0.55000000000000004">
      <c r="B25" s="10"/>
      <c r="D25" s="28"/>
      <c r="E25" s="9"/>
      <c r="F25" s="9"/>
    </row>
    <row r="26" spans="2:6" ht="21.75" thickBot="1" x14ac:dyDescent="0.55000000000000004">
      <c r="B26" s="10"/>
      <c r="C26" s="29" t="s">
        <v>34</v>
      </c>
      <c r="D26" s="30" t="s">
        <v>16</v>
      </c>
      <c r="E26" s="31" t="s">
        <v>35</v>
      </c>
      <c r="F26" s="60"/>
    </row>
    <row r="27" spans="2:6" ht="21.75" thickBot="1" x14ac:dyDescent="0.55000000000000004">
      <c r="B27" s="10"/>
      <c r="C27" s="62" t="s">
        <v>11</v>
      </c>
      <c r="D27" s="32">
        <f>FV(taxa_rendimento,B20*12,sugestao_invest*-1)</f>
        <v>69757.181136567044</v>
      </c>
      <c r="E27" s="33">
        <f>D27*rendimento_carteira</f>
        <v>592.93603966081992</v>
      </c>
      <c r="F27" s="9"/>
    </row>
    <row r="28" spans="2:6" ht="21.75" thickBot="1" x14ac:dyDescent="0.55000000000000004">
      <c r="B28" s="10"/>
      <c r="C28" s="62" t="s">
        <v>12</v>
      </c>
      <c r="D28" s="32">
        <f>FV(taxa_rendimento,B21*12,sugestao_invest*-1)</f>
        <v>214636.45366412535</v>
      </c>
      <c r="E28" s="33">
        <f>D28*rendimento_carteira</f>
        <v>1824.4098561450655</v>
      </c>
      <c r="F28" s="9"/>
    </row>
    <row r="29" spans="2:6" ht="21.75" thickBot="1" x14ac:dyDescent="0.55000000000000004">
      <c r="B29" s="10"/>
      <c r="C29" s="62" t="s">
        <v>13</v>
      </c>
      <c r="D29" s="32">
        <f>FV(taxa_rendimento,B22*12,sugestao_invest*-1)</f>
        <v>623294.15250230115</v>
      </c>
      <c r="E29" s="33">
        <f>D29*rendimento_carteira</f>
        <v>5298.0002962695598</v>
      </c>
      <c r="F29" s="9"/>
    </row>
    <row r="30" spans="2:6" ht="21.75" thickBot="1" x14ac:dyDescent="0.55000000000000004">
      <c r="B30" s="10"/>
      <c r="C30" s="62" t="s">
        <v>14</v>
      </c>
      <c r="D30" s="32">
        <f>FV(taxa_rendimento,B23*12,sugestao_invest*-1)</f>
        <v>2882758.3010487203</v>
      </c>
      <c r="E30" s="33">
        <f>D30*rendimento_carteira</f>
        <v>24503.445558914125</v>
      </c>
      <c r="F30" s="9"/>
    </row>
    <row r="31" spans="2:6" ht="21.75" thickBot="1" x14ac:dyDescent="0.55000000000000004">
      <c r="B31" s="10"/>
      <c r="C31" s="63" t="s">
        <v>15</v>
      </c>
      <c r="D31" s="34">
        <f>FV(taxa_rendimento,B24*12,sugestao_invest*-1)</f>
        <v>11073398.656122079</v>
      </c>
      <c r="E31" s="36">
        <f>D31*rendimento_carteira</f>
        <v>94123.88857703768</v>
      </c>
      <c r="F31" s="9"/>
    </row>
    <row r="32" spans="2:6" ht="36" customHeight="1" thickBot="1" x14ac:dyDescent="0.55000000000000004">
      <c r="E32" s="9"/>
      <c r="F32" s="9"/>
    </row>
    <row r="33" spans="3:6" s="40" customFormat="1" ht="26.25" customHeight="1" x14ac:dyDescent="0.25">
      <c r="C33" s="76" t="s">
        <v>36</v>
      </c>
      <c r="D33" s="77"/>
      <c r="E33" s="78"/>
      <c r="F33" s="61"/>
    </row>
    <row r="34" spans="3:6" ht="21.75" thickBot="1" x14ac:dyDescent="0.55000000000000004">
      <c r="C34" s="66" t="s">
        <v>29</v>
      </c>
      <c r="D34" s="67">
        <f>aporte</f>
        <v>2000</v>
      </c>
      <c r="E34" s="25"/>
      <c r="F34" s="9"/>
    </row>
    <row r="35" spans="3:6" ht="7.5" customHeight="1" thickBot="1" x14ac:dyDescent="0.55000000000000004">
      <c r="E35" s="9"/>
      <c r="F35" s="9"/>
    </row>
    <row r="36" spans="3:6" x14ac:dyDescent="0.5">
      <c r="C36" s="46" t="s">
        <v>27</v>
      </c>
      <c r="D36" s="47" t="s">
        <v>30</v>
      </c>
      <c r="E36" s="48" t="s">
        <v>31</v>
      </c>
      <c r="F36" s="60"/>
    </row>
    <row r="37" spans="3:6" x14ac:dyDescent="0.5">
      <c r="C37" s="64" t="s">
        <v>21</v>
      </c>
      <c r="D37" s="27">
        <f>VLOOKUP(perfil&amp;"-"&amp;C37,'TABELA APOIO'!A:D,4,0)</f>
        <v>0.3</v>
      </c>
      <c r="E37" s="49">
        <f>$D$34*D37</f>
        <v>600</v>
      </c>
      <c r="F37" s="9"/>
    </row>
    <row r="38" spans="3:6" x14ac:dyDescent="0.5">
      <c r="C38" s="64" t="s">
        <v>22</v>
      </c>
      <c r="D38" s="27">
        <f>VLOOKUP(perfil&amp;"-"&amp;C38,'TABELA APOIO'!A:D,4,0)</f>
        <v>0.4</v>
      </c>
      <c r="E38" s="49">
        <f t="shared" ref="E38:E42" si="0">$D$34*D38</f>
        <v>800</v>
      </c>
      <c r="F38" s="9"/>
    </row>
    <row r="39" spans="3:6" x14ac:dyDescent="0.5">
      <c r="C39" s="64" t="s">
        <v>23</v>
      </c>
      <c r="D39" s="27">
        <f>VLOOKUP(perfil&amp;"-"&amp;C39,'TABELA APOIO'!A:D,4,0)</f>
        <v>0.2</v>
      </c>
      <c r="E39" s="49">
        <f t="shared" si="0"/>
        <v>400</v>
      </c>
      <c r="F39" s="9"/>
    </row>
    <row r="40" spans="3:6" x14ac:dyDescent="0.5">
      <c r="C40" s="64" t="s">
        <v>24</v>
      </c>
      <c r="D40" s="27">
        <f>VLOOKUP(perfil&amp;"-"&amp;C40,'TABELA APOIO'!A:D,4,0)</f>
        <v>0.05</v>
      </c>
      <c r="E40" s="49">
        <f t="shared" si="0"/>
        <v>100</v>
      </c>
      <c r="F40" s="9"/>
    </row>
    <row r="41" spans="3:6" x14ac:dyDescent="0.5">
      <c r="C41" s="64" t="s">
        <v>25</v>
      </c>
      <c r="D41" s="27">
        <f>VLOOKUP(perfil&amp;"-"&amp;C41,'TABELA APOIO'!A:D,4,0)</f>
        <v>0.05</v>
      </c>
      <c r="E41" s="49">
        <f t="shared" si="0"/>
        <v>100</v>
      </c>
      <c r="F41" s="9"/>
    </row>
    <row r="42" spans="3:6" ht="21.75" thickBot="1" x14ac:dyDescent="0.55000000000000004">
      <c r="C42" s="65" t="s">
        <v>26</v>
      </c>
      <c r="D42" s="50">
        <f>VLOOKUP(perfil&amp;"-"&amp;C42,'TABELA APOIO'!A:D,4,0)</f>
        <v>0</v>
      </c>
      <c r="E42" s="51">
        <f t="shared" si="0"/>
        <v>0</v>
      </c>
      <c r="F42" s="9"/>
    </row>
    <row r="43" spans="3:6" x14ac:dyDescent="0.5">
      <c r="D43" s="45"/>
      <c r="E43" s="9">
        <f>SUM(E37:E42)</f>
        <v>2000</v>
      </c>
      <c r="F43" s="9"/>
    </row>
    <row r="44" spans="3:6" x14ac:dyDescent="0.5">
      <c r="C44" s="1" t="str">
        <f>"Investidor"&amp;" - "&amp;perfil</f>
        <v>Investidor - Conservador</v>
      </c>
      <c r="D44" s="45"/>
      <c r="E44" s="9"/>
      <c r="F44" s="9"/>
    </row>
    <row r="45" spans="3:6" x14ac:dyDescent="0.5">
      <c r="D45" s="45"/>
      <c r="E45" s="9"/>
      <c r="F45" s="9"/>
    </row>
    <row r="46" spans="3:6" x14ac:dyDescent="0.5">
      <c r="D46" s="45"/>
      <c r="E46" s="9"/>
      <c r="F46" s="9"/>
    </row>
    <row r="47" spans="3:6" x14ac:dyDescent="0.5">
      <c r="D47" s="45"/>
      <c r="E47" s="9"/>
      <c r="F47" s="9"/>
    </row>
    <row r="48" spans="3:6" x14ac:dyDescent="0.5">
      <c r="D48" s="45"/>
      <c r="E48" s="9"/>
      <c r="F48" s="9"/>
    </row>
    <row r="49" spans="4:7" x14ac:dyDescent="0.5">
      <c r="D49" s="45"/>
      <c r="E49" s="9"/>
      <c r="F49" s="9"/>
    </row>
    <row r="50" spans="4:7" x14ac:dyDescent="0.5">
      <c r="D50" s="45"/>
      <c r="E50" s="9"/>
      <c r="F50" s="9"/>
    </row>
    <row r="51" spans="4:7" x14ac:dyDescent="0.5">
      <c r="D51" s="45"/>
      <c r="E51" s="9"/>
      <c r="F51" s="9"/>
    </row>
    <row r="52" spans="4:7" x14ac:dyDescent="0.5">
      <c r="D52" s="45"/>
      <c r="E52" s="9"/>
      <c r="F52" s="9"/>
    </row>
    <row r="53" spans="4:7" x14ac:dyDescent="0.5">
      <c r="D53" s="45"/>
      <c r="E53" s="9"/>
      <c r="F53" s="79" t="str">
        <f>HYPERLINK("#perfil","Voltar do Topo")</f>
        <v>Voltar do Topo</v>
      </c>
      <c r="G53" s="79"/>
    </row>
    <row r="54" spans="4:7" x14ac:dyDescent="0.5">
      <c r="D54" s="45"/>
      <c r="E54" s="9"/>
    </row>
    <row r="55" spans="4:7" x14ac:dyDescent="0.5">
      <c r="D55" s="45"/>
      <c r="E55" s="9"/>
    </row>
    <row r="56" spans="4:7" x14ac:dyDescent="0.5">
      <c r="D56" s="45"/>
      <c r="E56" s="9"/>
      <c r="F56" s="9"/>
    </row>
    <row r="57" spans="4:7" x14ac:dyDescent="0.5">
      <c r="D57" s="45"/>
      <c r="E57" s="9"/>
      <c r="F57" s="9"/>
    </row>
    <row r="58" spans="4:7" x14ac:dyDescent="0.5">
      <c r="E58" s="1"/>
      <c r="F58" s="1"/>
    </row>
    <row r="59" spans="4:7" x14ac:dyDescent="0.5">
      <c r="E59" s="9"/>
      <c r="F59" s="9"/>
    </row>
    <row r="60" spans="4:7" hidden="1" x14ac:dyDescent="0.5">
      <c r="E60" s="9"/>
      <c r="F60" s="9"/>
    </row>
    <row r="61" spans="4:7" hidden="1" x14ac:dyDescent="0.5">
      <c r="E61" s="9"/>
      <c r="F61" s="9"/>
    </row>
    <row r="62" spans="4:7" hidden="1" x14ac:dyDescent="0.5">
      <c r="E62" s="9"/>
      <c r="F62" s="9"/>
    </row>
    <row r="63" spans="4:7" hidden="1" x14ac:dyDescent="0.5">
      <c r="E63" s="9"/>
      <c r="F63" s="9"/>
    </row>
    <row r="64" spans="4:7" hidden="1" x14ac:dyDescent="0.5">
      <c r="E64" s="9"/>
      <c r="F64" s="9"/>
    </row>
    <row r="65" spans="5:6" hidden="1" x14ac:dyDescent="0.5">
      <c r="E65" s="9"/>
      <c r="F65" s="9"/>
    </row>
    <row r="66" spans="5:6" hidden="1" x14ac:dyDescent="0.5">
      <c r="E66" s="9"/>
      <c r="F66" s="9"/>
    </row>
    <row r="67" spans="5:6" hidden="1" x14ac:dyDescent="0.5">
      <c r="E67" s="9"/>
      <c r="F67" s="9"/>
    </row>
    <row r="68" spans="5:6" hidden="1" x14ac:dyDescent="0.5">
      <c r="E68" s="9"/>
      <c r="F68" s="9"/>
    </row>
    <row r="69" spans="5:6" hidden="1" x14ac:dyDescent="0.5">
      <c r="E69" s="9"/>
      <c r="F69" s="9"/>
    </row>
    <row r="70" spans="5:6" hidden="1" x14ac:dyDescent="0.5">
      <c r="E70" s="9"/>
      <c r="F70" s="9"/>
    </row>
    <row r="71" spans="5:6" hidden="1" x14ac:dyDescent="0.5">
      <c r="E71" s="9"/>
      <c r="F71" s="9"/>
    </row>
    <row r="72" spans="5:6" hidden="1" x14ac:dyDescent="0.5">
      <c r="E72" s="9"/>
      <c r="F72" s="9"/>
    </row>
    <row r="73" spans="5:6" hidden="1" x14ac:dyDescent="0.5">
      <c r="E73" s="9"/>
      <c r="F73" s="9"/>
    </row>
    <row r="74" spans="5:6" hidden="1" x14ac:dyDescent="0.5">
      <c r="E74" s="9"/>
      <c r="F74" s="9"/>
    </row>
    <row r="75" spans="5:6" hidden="1" x14ac:dyDescent="0.5">
      <c r="E75" s="9"/>
      <c r="F75" s="9"/>
    </row>
    <row r="76" spans="5:6" hidden="1" x14ac:dyDescent="0.5">
      <c r="E76" s="9"/>
      <c r="F76" s="9"/>
    </row>
    <row r="77" spans="5:6" hidden="1" x14ac:dyDescent="0.5">
      <c r="E77" s="9"/>
      <c r="F77" s="9"/>
    </row>
    <row r="78" spans="5:6" hidden="1" x14ac:dyDescent="0.5">
      <c r="E78" s="9"/>
      <c r="F78" s="9"/>
    </row>
    <row r="79" spans="5:6" hidden="1" x14ac:dyDescent="0.5">
      <c r="E79" s="9"/>
      <c r="F79" s="9"/>
    </row>
    <row r="80" spans="5:6" hidden="1" x14ac:dyDescent="0.5">
      <c r="E80" s="9"/>
      <c r="F80" s="9"/>
    </row>
    <row r="81" spans="5:6" hidden="1" x14ac:dyDescent="0.5">
      <c r="E81" s="9"/>
      <c r="F81" s="9"/>
    </row>
    <row r="82" spans="5:6" hidden="1" x14ac:dyDescent="0.5">
      <c r="E82" s="9"/>
      <c r="F82" s="9"/>
    </row>
    <row r="83" spans="5:6" hidden="1" x14ac:dyDescent="0.5">
      <c r="E83" s="9"/>
      <c r="F83" s="9"/>
    </row>
    <row r="84" spans="5:6" hidden="1" x14ac:dyDescent="0.5">
      <c r="E84" s="9"/>
      <c r="F84" s="9"/>
    </row>
    <row r="85" spans="5:6" hidden="1" x14ac:dyDescent="0.5">
      <c r="E85" s="9"/>
      <c r="F85" s="9"/>
    </row>
    <row r="86" spans="5:6" hidden="1" x14ac:dyDescent="0.5">
      <c r="E86" s="9"/>
      <c r="F86" s="9"/>
    </row>
    <row r="87" spans="5:6" hidden="1" x14ac:dyDescent="0.5">
      <c r="E87" s="9"/>
      <c r="F87" s="9"/>
    </row>
    <row r="88" spans="5:6" hidden="1" x14ac:dyDescent="0.5">
      <c r="E88" s="9"/>
      <c r="F88" s="9"/>
    </row>
    <row r="89" spans="5:6" hidden="1" x14ac:dyDescent="0.5">
      <c r="E89" s="9"/>
      <c r="F89" s="9"/>
    </row>
    <row r="90" spans="5:6" hidden="1" x14ac:dyDescent="0.5">
      <c r="E90" s="9"/>
      <c r="F90" s="9"/>
    </row>
    <row r="91" spans="5:6" hidden="1" x14ac:dyDescent="0.5">
      <c r="E91" s="9"/>
      <c r="F91" s="9"/>
    </row>
    <row r="92" spans="5:6" hidden="1" x14ac:dyDescent="0.5">
      <c r="E92" s="9"/>
      <c r="F92" s="9"/>
    </row>
    <row r="93" spans="5:6" hidden="1" x14ac:dyDescent="0.5">
      <c r="E93" s="9"/>
      <c r="F93" s="9"/>
    </row>
    <row r="94" spans="5:6" hidden="1" x14ac:dyDescent="0.5">
      <c r="E94" s="9"/>
      <c r="F94" s="9"/>
    </row>
    <row r="95" spans="5:6" hidden="1" x14ac:dyDescent="0.5">
      <c r="E95" s="9"/>
      <c r="F95" s="9"/>
    </row>
    <row r="96" spans="5:6" hidden="1" x14ac:dyDescent="0.5">
      <c r="E96" s="9"/>
      <c r="F96" s="9"/>
    </row>
    <row r="97" spans="5:6" hidden="1" x14ac:dyDescent="0.5">
      <c r="E97" s="9"/>
      <c r="F97" s="9"/>
    </row>
    <row r="98" spans="5:6" hidden="1" x14ac:dyDescent="0.5">
      <c r="E98" s="9"/>
      <c r="F98" s="9"/>
    </row>
    <row r="99" spans="5:6" hidden="1" x14ac:dyDescent="0.5">
      <c r="E99" s="9"/>
      <c r="F99" s="9"/>
    </row>
    <row r="100" spans="5:6" hidden="1" x14ac:dyDescent="0.5">
      <c r="E100" s="9"/>
      <c r="F100" s="9"/>
    </row>
    <row r="101" spans="5:6" hidden="1" x14ac:dyDescent="0.5">
      <c r="E101" s="9"/>
      <c r="F101" s="9"/>
    </row>
    <row r="102" spans="5:6" hidden="1" x14ac:dyDescent="0.5">
      <c r="E102" s="9"/>
      <c r="F102" s="9"/>
    </row>
    <row r="103" spans="5:6" hidden="1" x14ac:dyDescent="0.5">
      <c r="E103" s="9"/>
      <c r="F103" s="9"/>
    </row>
    <row r="104" spans="5:6" hidden="1" x14ac:dyDescent="0.5">
      <c r="E104" s="9"/>
      <c r="F104" s="9"/>
    </row>
    <row r="105" spans="5:6" hidden="1" x14ac:dyDescent="0.5">
      <c r="E105" s="9"/>
      <c r="F105" s="9"/>
    </row>
    <row r="106" spans="5:6" hidden="1" x14ac:dyDescent="0.5">
      <c r="E106" s="9"/>
      <c r="F106" s="9"/>
    </row>
    <row r="107" spans="5:6" hidden="1" x14ac:dyDescent="0.5">
      <c r="E107" s="9"/>
      <c r="F107" s="9"/>
    </row>
    <row r="108" spans="5:6" hidden="1" x14ac:dyDescent="0.5">
      <c r="E108" s="9"/>
      <c r="F108" s="9"/>
    </row>
    <row r="109" spans="5:6" hidden="1" x14ac:dyDescent="0.5">
      <c r="E109" s="9"/>
      <c r="F109" s="9"/>
    </row>
    <row r="110" spans="5:6" hidden="1" x14ac:dyDescent="0.5">
      <c r="E110" s="9"/>
      <c r="F110" s="9"/>
    </row>
    <row r="111" spans="5:6" hidden="1" x14ac:dyDescent="0.5">
      <c r="E111" s="9"/>
      <c r="F111" s="9"/>
    </row>
    <row r="112" spans="5:6" hidden="1" x14ac:dyDescent="0.5">
      <c r="E112" s="9"/>
      <c r="F112" s="9"/>
    </row>
    <row r="113" spans="5:6" hidden="1" x14ac:dyDescent="0.5">
      <c r="E113" s="9"/>
      <c r="F113" s="9"/>
    </row>
    <row r="114" spans="5:6" hidden="1" x14ac:dyDescent="0.5">
      <c r="E114" s="9"/>
      <c r="F114" s="9"/>
    </row>
    <row r="115" spans="5:6" hidden="1" x14ac:dyDescent="0.5">
      <c r="E115" s="9"/>
      <c r="F115" s="9"/>
    </row>
    <row r="116" spans="5:6" hidden="1" x14ac:dyDescent="0.5">
      <c r="E116" s="9"/>
      <c r="F116" s="9"/>
    </row>
    <row r="117" spans="5:6" hidden="1" x14ac:dyDescent="0.5">
      <c r="E117" s="9"/>
      <c r="F117" s="9"/>
    </row>
    <row r="118" spans="5:6" hidden="1" x14ac:dyDescent="0.5">
      <c r="E118" s="9"/>
      <c r="F118" s="9"/>
    </row>
    <row r="119" spans="5:6" hidden="1" x14ac:dyDescent="0.5">
      <c r="E119" s="9"/>
      <c r="F119" s="9"/>
    </row>
    <row r="120" spans="5:6" hidden="1" x14ac:dyDescent="0.5">
      <c r="E120" s="9"/>
      <c r="F120" s="9"/>
    </row>
    <row r="121" spans="5:6" hidden="1" x14ac:dyDescent="0.5">
      <c r="E121" s="9"/>
      <c r="F121" s="9"/>
    </row>
    <row r="122" spans="5:6" hidden="1" x14ac:dyDescent="0.5">
      <c r="E122" s="9"/>
      <c r="F122" s="9"/>
    </row>
    <row r="123" spans="5:6" hidden="1" x14ac:dyDescent="0.5">
      <c r="E123" s="9"/>
      <c r="F123" s="9"/>
    </row>
    <row r="124" spans="5:6" hidden="1" x14ac:dyDescent="0.5">
      <c r="E124" s="9"/>
      <c r="F124" s="9"/>
    </row>
    <row r="125" spans="5:6" hidden="1" x14ac:dyDescent="0.5">
      <c r="E125" s="9"/>
      <c r="F125" s="9"/>
    </row>
    <row r="126" spans="5:6" hidden="1" x14ac:dyDescent="0.5">
      <c r="E126" s="9"/>
      <c r="F126" s="9"/>
    </row>
    <row r="127" spans="5:6" hidden="1" x14ac:dyDescent="0.5">
      <c r="E127" s="9"/>
      <c r="F127" s="9"/>
    </row>
    <row r="128" spans="5:6" hidden="1" x14ac:dyDescent="0.5">
      <c r="E128" s="9"/>
      <c r="F128" s="9"/>
    </row>
    <row r="129" spans="5:6" hidden="1" x14ac:dyDescent="0.5">
      <c r="E129" s="9"/>
      <c r="F129" s="9"/>
    </row>
    <row r="130" spans="5:6" hidden="1" x14ac:dyDescent="0.5">
      <c r="E130" s="9"/>
      <c r="F130" s="9"/>
    </row>
    <row r="131" spans="5:6" hidden="1" x14ac:dyDescent="0.5">
      <c r="E131" s="9"/>
      <c r="F131" s="9"/>
    </row>
    <row r="132" spans="5:6" hidden="1" x14ac:dyDescent="0.5">
      <c r="E132" s="9"/>
      <c r="F132" s="9"/>
    </row>
    <row r="133" spans="5:6" hidden="1" x14ac:dyDescent="0.5">
      <c r="E133" s="9"/>
      <c r="F133" s="9"/>
    </row>
    <row r="134" spans="5:6" hidden="1" x14ac:dyDescent="0.5">
      <c r="E134" s="9"/>
      <c r="F134" s="9"/>
    </row>
    <row r="135" spans="5:6" hidden="1" x14ac:dyDescent="0.5">
      <c r="E135" s="9"/>
      <c r="F135" s="9"/>
    </row>
    <row r="136" spans="5:6" hidden="1" x14ac:dyDescent="0.5">
      <c r="E136" s="9"/>
      <c r="F136" s="9"/>
    </row>
    <row r="137" spans="5:6" hidden="1" x14ac:dyDescent="0.5">
      <c r="E137" s="9"/>
      <c r="F137" s="9"/>
    </row>
    <row r="138" spans="5:6" hidden="1" x14ac:dyDescent="0.5">
      <c r="E138" s="9"/>
      <c r="F138" s="9"/>
    </row>
    <row r="139" spans="5:6" hidden="1" x14ac:dyDescent="0.5">
      <c r="E139" s="9"/>
      <c r="F139" s="9"/>
    </row>
    <row r="140" spans="5:6" hidden="1" x14ac:dyDescent="0.5">
      <c r="E140" s="9"/>
      <c r="F140" s="9"/>
    </row>
    <row r="141" spans="5:6" hidden="1" x14ac:dyDescent="0.5">
      <c r="E141" s="9"/>
      <c r="F141" s="9"/>
    </row>
    <row r="142" spans="5:6" hidden="1" x14ac:dyDescent="0.5">
      <c r="E142" s="9"/>
      <c r="F142" s="9"/>
    </row>
    <row r="143" spans="5:6" hidden="1" x14ac:dyDescent="0.5">
      <c r="E143" s="9"/>
      <c r="F143" s="9"/>
    </row>
    <row r="144" spans="5:6" hidden="1" x14ac:dyDescent="0.5">
      <c r="E144" s="9"/>
      <c r="F144" s="9"/>
    </row>
    <row r="145" spans="5:6" hidden="1" x14ac:dyDescent="0.5">
      <c r="E145" s="9"/>
      <c r="F145" s="9"/>
    </row>
    <row r="146" spans="5:6" hidden="1" x14ac:dyDescent="0.5">
      <c r="E146" s="9"/>
      <c r="F146" s="9"/>
    </row>
    <row r="147" spans="5:6" hidden="1" x14ac:dyDescent="0.5">
      <c r="E147" s="9"/>
      <c r="F147" s="9"/>
    </row>
    <row r="148" spans="5:6" hidden="1" x14ac:dyDescent="0.5">
      <c r="E148" s="9"/>
      <c r="F148" s="9"/>
    </row>
    <row r="149" spans="5:6" hidden="1" x14ac:dyDescent="0.5">
      <c r="E149" s="9"/>
      <c r="F149" s="9"/>
    </row>
    <row r="150" spans="5:6" hidden="1" x14ac:dyDescent="0.5">
      <c r="E150" s="9"/>
      <c r="F150" s="9"/>
    </row>
    <row r="151" spans="5:6" hidden="1" x14ac:dyDescent="0.5">
      <c r="E151" s="9"/>
      <c r="F151" s="9"/>
    </row>
    <row r="152" spans="5:6" hidden="1" x14ac:dyDescent="0.5">
      <c r="E152" s="9"/>
      <c r="F152" s="9"/>
    </row>
    <row r="153" spans="5:6" hidden="1" x14ac:dyDescent="0.5">
      <c r="E153" s="9"/>
      <c r="F153" s="9"/>
    </row>
    <row r="154" spans="5:6" hidden="1" x14ac:dyDescent="0.5">
      <c r="E154" s="9"/>
      <c r="F154" s="9"/>
    </row>
    <row r="155" spans="5:6" hidden="1" x14ac:dyDescent="0.5">
      <c r="E155" s="9"/>
      <c r="F155" s="9"/>
    </row>
    <row r="156" spans="5:6" hidden="1" x14ac:dyDescent="0.5">
      <c r="E156" s="9"/>
      <c r="F156" s="9"/>
    </row>
    <row r="157" spans="5:6" hidden="1" x14ac:dyDescent="0.5">
      <c r="E157" s="9"/>
      <c r="F157" s="9"/>
    </row>
    <row r="158" spans="5:6" hidden="1" x14ac:dyDescent="0.5">
      <c r="E158" s="9"/>
      <c r="F158" s="9"/>
    </row>
    <row r="159" spans="5:6" hidden="1" x14ac:dyDescent="0.5">
      <c r="E159" s="9"/>
      <c r="F159" s="9"/>
    </row>
    <row r="160" spans="5:6" hidden="1" x14ac:dyDescent="0.5">
      <c r="E160" s="9"/>
      <c r="F160" s="9"/>
    </row>
    <row r="161" spans="5:6" hidden="1" x14ac:dyDescent="0.5">
      <c r="E161" s="9"/>
      <c r="F161" s="9"/>
    </row>
    <row r="162" spans="5:6" hidden="1" x14ac:dyDescent="0.5">
      <c r="E162" s="9"/>
      <c r="F162" s="9"/>
    </row>
    <row r="163" spans="5:6" hidden="1" x14ac:dyDescent="0.5">
      <c r="E163" s="9"/>
      <c r="F163" s="9"/>
    </row>
    <row r="164" spans="5:6" hidden="1" x14ac:dyDescent="0.5">
      <c r="E164" s="9"/>
      <c r="F164" s="9"/>
    </row>
    <row r="165" spans="5:6" hidden="1" x14ac:dyDescent="0.5">
      <c r="E165" s="9"/>
      <c r="F165" s="9"/>
    </row>
    <row r="166" spans="5:6" hidden="1" x14ac:dyDescent="0.5">
      <c r="E166" s="9"/>
      <c r="F166" s="9"/>
    </row>
    <row r="167" spans="5:6" hidden="1" x14ac:dyDescent="0.5">
      <c r="E167" s="9"/>
      <c r="F167" s="9"/>
    </row>
    <row r="168" spans="5:6" hidden="1" x14ac:dyDescent="0.5">
      <c r="E168" s="9"/>
      <c r="F168" s="9"/>
    </row>
    <row r="169" spans="5:6" hidden="1" x14ac:dyDescent="0.5">
      <c r="E169" s="9"/>
      <c r="F169" s="9"/>
    </row>
    <row r="170" spans="5:6" hidden="1" x14ac:dyDescent="0.5">
      <c r="E170" s="9"/>
      <c r="F170" s="9"/>
    </row>
    <row r="171" spans="5:6" hidden="1" x14ac:dyDescent="0.5">
      <c r="E171" s="9"/>
      <c r="F171" s="9"/>
    </row>
    <row r="172" spans="5:6" hidden="1" x14ac:dyDescent="0.5">
      <c r="E172" s="9"/>
      <c r="F172" s="9"/>
    </row>
    <row r="173" spans="5:6" hidden="1" x14ac:dyDescent="0.5">
      <c r="E173" s="9"/>
      <c r="F173" s="9"/>
    </row>
    <row r="174" spans="5:6" hidden="1" x14ac:dyDescent="0.5">
      <c r="E174" s="9"/>
      <c r="F174" s="9"/>
    </row>
    <row r="175" spans="5:6" hidden="1" x14ac:dyDescent="0.5">
      <c r="E175" s="9"/>
      <c r="F175" s="9"/>
    </row>
    <row r="176" spans="5:6" hidden="1" x14ac:dyDescent="0.5">
      <c r="E176" s="9"/>
      <c r="F176" s="9"/>
    </row>
    <row r="177" spans="5:6" hidden="1" x14ac:dyDescent="0.5">
      <c r="E177" s="9"/>
      <c r="F177" s="9"/>
    </row>
    <row r="178" spans="5:6" hidden="1" x14ac:dyDescent="0.5">
      <c r="E178" s="9"/>
      <c r="F178" s="9"/>
    </row>
    <row r="179" spans="5:6" hidden="1" x14ac:dyDescent="0.5">
      <c r="E179" s="9"/>
      <c r="F179" s="9"/>
    </row>
    <row r="180" spans="5:6" hidden="1" x14ac:dyDescent="0.5">
      <c r="E180" s="9"/>
      <c r="F180" s="9"/>
    </row>
    <row r="181" spans="5:6" hidden="1" x14ac:dyDescent="0.5">
      <c r="E181" s="9"/>
      <c r="F181" s="9"/>
    </row>
    <row r="182" spans="5:6" x14ac:dyDescent="0.5"/>
    <row r="183" spans="5:6" x14ac:dyDescent="0.5"/>
    <row r="184" spans="5:6" x14ac:dyDescent="0.5"/>
  </sheetData>
  <sheetProtection selectLockedCells="1"/>
  <mergeCells count="5">
    <mergeCell ref="C6:E6"/>
    <mergeCell ref="C12:E12"/>
    <mergeCell ref="C33:E33"/>
    <mergeCell ref="F53:G53"/>
    <mergeCell ref="F5:G9"/>
  </mergeCells>
  <dataValidations count="1">
    <dataValidation type="list" allowBlank="1" showInputMessage="1" showErrorMessage="1" sqref="E7" xr:uid="{D717538D-9655-4970-A42C-91F8F98A2BEE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682A-B3FF-4F5F-B1E1-7A75A46F98B4}">
  <dimension ref="C1:H31"/>
  <sheetViews>
    <sheetView showGridLines="0" showRowColHeaders="0" zoomScale="90" workbookViewId="0">
      <selection activeCell="F17" sqref="F17"/>
    </sheetView>
  </sheetViews>
  <sheetFormatPr defaultColWidth="0" defaultRowHeight="20.25" x14ac:dyDescent="0.5"/>
  <cols>
    <col min="1" max="2" width="11.7109375" style="84" customWidth="1"/>
    <col min="3" max="3" width="56.140625" style="82" customWidth="1"/>
    <col min="4" max="5" width="22.28515625" style="83" customWidth="1"/>
    <col min="6" max="7" width="11.7109375" style="84" customWidth="1"/>
    <col min="8" max="8" width="0" style="84" hidden="1"/>
    <col min="9" max="16384" width="9.140625" style="84" hidden="1"/>
  </cols>
  <sheetData>
    <row r="1" spans="3:5" ht="21" customHeight="1" x14ac:dyDescent="0.5"/>
    <row r="2" spans="3:5" ht="21" customHeight="1" x14ac:dyDescent="0.5"/>
    <row r="3" spans="3:5" ht="21" customHeight="1" x14ac:dyDescent="0.5"/>
    <row r="4" spans="3:5" ht="21" customHeight="1" x14ac:dyDescent="0.5"/>
    <row r="5" spans="3:5" ht="21" thickBot="1" x14ac:dyDescent="0.55000000000000004"/>
    <row r="6" spans="3:5" s="57" customFormat="1" ht="21" x14ac:dyDescent="0.5">
      <c r="C6" s="88" t="s">
        <v>2</v>
      </c>
      <c r="D6" s="89"/>
      <c r="E6" s="90"/>
    </row>
    <row r="7" spans="3:5" x14ac:dyDescent="0.5">
      <c r="C7" s="96" t="s">
        <v>38</v>
      </c>
      <c r="D7" s="97"/>
      <c r="E7" s="101">
        <v>8650</v>
      </c>
    </row>
    <row r="8" spans="3:5" x14ac:dyDescent="0.5">
      <c r="C8" s="108" t="s">
        <v>39</v>
      </c>
      <c r="D8" s="122"/>
      <c r="E8" s="123">
        <f>E7*30%</f>
        <v>2595</v>
      </c>
    </row>
    <row r="9" spans="3:5" ht="21" thickBot="1" x14ac:dyDescent="0.55000000000000004">
      <c r="C9" s="94" t="s">
        <v>48</v>
      </c>
      <c r="D9" s="95"/>
      <c r="E9" s="102">
        <v>2000</v>
      </c>
    </row>
    <row r="10" spans="3:5" ht="21" thickBot="1" x14ac:dyDescent="0.55000000000000004"/>
    <row r="11" spans="3:5" s="57" customFormat="1" ht="21" x14ac:dyDescent="0.5">
      <c r="C11" s="103" t="s">
        <v>44</v>
      </c>
      <c r="D11" s="104"/>
      <c r="E11" s="105"/>
    </row>
    <row r="12" spans="3:5" x14ac:dyDescent="0.5">
      <c r="C12" s="96" t="s">
        <v>40</v>
      </c>
      <c r="D12" s="97"/>
      <c r="E12" s="101">
        <v>600</v>
      </c>
    </row>
    <row r="13" spans="3:5" x14ac:dyDescent="0.5">
      <c r="C13" s="91" t="s">
        <v>43</v>
      </c>
      <c r="D13" s="92"/>
      <c r="E13" s="106">
        <v>9000</v>
      </c>
    </row>
    <row r="14" spans="3:5" x14ac:dyDescent="0.5">
      <c r="C14" s="113" t="s">
        <v>45</v>
      </c>
      <c r="D14" s="132"/>
      <c r="E14" s="133">
        <f>ROUNDDOWN(NPER(E15,-aporte1,0,objetivo_Ferias),)</f>
        <v>14</v>
      </c>
    </row>
    <row r="15" spans="3:5" x14ac:dyDescent="0.5">
      <c r="C15" s="113" t="s">
        <v>41</v>
      </c>
      <c r="D15" s="120"/>
      <c r="E15" s="121">
        <v>1.03E-2</v>
      </c>
    </row>
    <row r="16" spans="3:5" ht="21" thickBot="1" x14ac:dyDescent="0.55000000000000004">
      <c r="C16" s="111" t="s">
        <v>42</v>
      </c>
      <c r="D16" s="118"/>
      <c r="E16" s="119">
        <f>FV(E15,meses_ferias,aporte1*-1)</f>
        <v>8986.2200788071532</v>
      </c>
    </row>
    <row r="18" spans="3:6" ht="21" thickBot="1" x14ac:dyDescent="0.55000000000000004"/>
    <row r="19" spans="3:6" s="57" customFormat="1" ht="21" x14ac:dyDescent="0.5">
      <c r="C19" s="103" t="s">
        <v>46</v>
      </c>
      <c r="D19" s="104" t="s">
        <v>49</v>
      </c>
      <c r="E19" s="124" t="str">
        <f>"DE 15°"&amp;" AO "&amp;" "&amp;(D24+E24)&amp;"  " &amp;"MÊS"</f>
        <v>DE 15° AO  49  MÊS</v>
      </c>
    </row>
    <row r="20" spans="3:6" x14ac:dyDescent="0.5">
      <c r="C20" s="108" t="s">
        <v>40</v>
      </c>
      <c r="D20" s="117">
        <f>E9-E12</f>
        <v>1400</v>
      </c>
      <c r="E20" s="109">
        <f>E9</f>
        <v>2000</v>
      </c>
    </row>
    <row r="21" spans="3:6" x14ac:dyDescent="0.5">
      <c r="C21" s="91" t="s">
        <v>43</v>
      </c>
      <c r="D21" s="100">
        <v>165000</v>
      </c>
      <c r="E21" s="93">
        <v>172000</v>
      </c>
    </row>
    <row r="22" spans="3:6" x14ac:dyDescent="0.5">
      <c r="C22" s="96" t="s">
        <v>47</v>
      </c>
      <c r="D22" s="99">
        <v>75000</v>
      </c>
      <c r="E22" s="98">
        <v>68000</v>
      </c>
    </row>
    <row r="23" spans="3:6" x14ac:dyDescent="0.5">
      <c r="C23" s="110" t="s">
        <v>50</v>
      </c>
      <c r="D23" s="126">
        <f>objetivo2-veiculo</f>
        <v>90000</v>
      </c>
      <c r="E23" s="127">
        <f>E21-veiculo_depreciado-patrimonio_carro1</f>
        <v>83032.15314944998</v>
      </c>
    </row>
    <row r="24" spans="3:6" x14ac:dyDescent="0.5">
      <c r="C24" s="113" t="s">
        <v>45</v>
      </c>
      <c r="D24" s="131">
        <f>meses_ferias</f>
        <v>14</v>
      </c>
      <c r="E24" s="130">
        <f>ROUND(NPER(E25,-E20,0,E23),0)</f>
        <v>35</v>
      </c>
    </row>
    <row r="25" spans="3:6" x14ac:dyDescent="0.5">
      <c r="C25" s="107" t="s">
        <v>41</v>
      </c>
      <c r="D25" s="128">
        <v>1.03E-2</v>
      </c>
      <c r="E25" s="129">
        <v>1.03E-2</v>
      </c>
    </row>
    <row r="26" spans="3:6" x14ac:dyDescent="0.5">
      <c r="C26" s="113" t="s">
        <v>42</v>
      </c>
      <c r="D26" s="115">
        <f>FV(D25,D24,D20*-1)</f>
        <v>20967.846850550024</v>
      </c>
      <c r="E26" s="114">
        <f>FV(E25,E24,E20*-1)</f>
        <v>83767.848988579615</v>
      </c>
      <c r="F26" s="125"/>
    </row>
    <row r="27" spans="3:6" ht="21" thickBot="1" x14ac:dyDescent="0.55000000000000004">
      <c r="C27" s="111" t="s">
        <v>52</v>
      </c>
      <c r="D27" s="116"/>
      <c r="E27" s="112">
        <f>E26+D26</f>
        <v>104735.69583912964</v>
      </c>
    </row>
    <row r="28" spans="3:6" x14ac:dyDescent="0.5">
      <c r="D28" s="85"/>
      <c r="E28" s="86"/>
    </row>
    <row r="29" spans="3:6" x14ac:dyDescent="0.5">
      <c r="C29" s="82" t="s">
        <v>51</v>
      </c>
    </row>
    <row r="30" spans="3:6" x14ac:dyDescent="0.5">
      <c r="C30" s="82" t="s">
        <v>54</v>
      </c>
    </row>
    <row r="31" spans="3:6" x14ac:dyDescent="0.5">
      <c r="C31" s="87" t="s">
        <v>53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8734-C803-4E21-A719-1A2AE21E903D}">
  <sheetPr codeName="Planilha2"/>
  <dimension ref="A1:I29"/>
  <sheetViews>
    <sheetView topLeftCell="A16" workbookViewId="0">
      <selection activeCell="F33" sqref="F33"/>
    </sheetView>
  </sheetViews>
  <sheetFormatPr defaultRowHeight="15" x14ac:dyDescent="0.25"/>
  <cols>
    <col min="1" max="1" width="31.28515625" bestFit="1" customWidth="1"/>
    <col min="2" max="2" width="27.85546875" customWidth="1"/>
    <col min="3" max="3" width="29.28515625" bestFit="1" customWidth="1"/>
    <col min="4" max="4" width="9.140625" style="2"/>
  </cols>
  <sheetData>
    <row r="1" spans="1:7" ht="21" x14ac:dyDescent="0.5">
      <c r="B1" s="1" t="s">
        <v>19</v>
      </c>
      <c r="C1" t="s">
        <v>27</v>
      </c>
      <c r="D1" s="2" t="s">
        <v>28</v>
      </c>
    </row>
    <row r="2" spans="1:7" ht="21" x14ac:dyDescent="0.5">
      <c r="A2" t="str">
        <f>B2&amp;"-"&amp;C2</f>
        <v>Conservador-PAPEL</v>
      </c>
      <c r="B2" t="s">
        <v>20</v>
      </c>
      <c r="C2" s="1" t="s">
        <v>21</v>
      </c>
      <c r="D2" s="2">
        <v>0.3</v>
      </c>
    </row>
    <row r="3" spans="1:7" ht="21" x14ac:dyDescent="0.5">
      <c r="A3" t="str">
        <f t="shared" ref="A3:A19" si="0">B3&amp;"-"&amp;C3</f>
        <v>Conservador-TIJOLO</v>
      </c>
      <c r="B3" t="s">
        <v>20</v>
      </c>
      <c r="C3" s="1" t="s">
        <v>22</v>
      </c>
      <c r="D3" s="2">
        <v>0.4</v>
      </c>
    </row>
    <row r="4" spans="1:7" ht="21" x14ac:dyDescent="0.5">
      <c r="A4" t="str">
        <f t="shared" si="0"/>
        <v>Conservador-HIBRIDO</v>
      </c>
      <c r="B4" t="s">
        <v>20</v>
      </c>
      <c r="C4" s="1" t="s">
        <v>23</v>
      </c>
      <c r="D4" s="2">
        <v>0.2</v>
      </c>
    </row>
    <row r="5" spans="1:7" ht="21" x14ac:dyDescent="0.5">
      <c r="A5" t="str">
        <f t="shared" si="0"/>
        <v>Conservador-FOFs</v>
      </c>
      <c r="B5" t="s">
        <v>20</v>
      </c>
      <c r="C5" s="1" t="s">
        <v>24</v>
      </c>
      <c r="D5" s="2">
        <v>0.05</v>
      </c>
    </row>
    <row r="6" spans="1:7" ht="21" x14ac:dyDescent="0.5">
      <c r="A6" t="str">
        <f t="shared" si="0"/>
        <v>Conservador-DESENVOLVIMENTO</v>
      </c>
      <c r="B6" t="s">
        <v>20</v>
      </c>
      <c r="C6" s="1" t="s">
        <v>25</v>
      </c>
      <c r="D6" s="2">
        <v>0.05</v>
      </c>
    </row>
    <row r="7" spans="1:7" ht="21.75" thickBot="1" x14ac:dyDescent="0.55000000000000004">
      <c r="A7" s="3" t="str">
        <f t="shared" si="0"/>
        <v>Conservador-HOTELARIA</v>
      </c>
      <c r="B7" s="3" t="s">
        <v>20</v>
      </c>
      <c r="C7" s="4" t="s">
        <v>26</v>
      </c>
      <c r="D7" s="5">
        <v>0</v>
      </c>
      <c r="G7" s="44"/>
    </row>
    <row r="8" spans="1:7" ht="21" x14ac:dyDescent="0.5">
      <c r="A8" t="str">
        <f t="shared" si="0"/>
        <v>Moderado-PAPEL</v>
      </c>
      <c r="B8" t="s">
        <v>32</v>
      </c>
      <c r="C8" s="1" t="s">
        <v>21</v>
      </c>
      <c r="D8" s="2">
        <v>0.3</v>
      </c>
    </row>
    <row r="9" spans="1:7" ht="21" x14ac:dyDescent="0.5">
      <c r="A9" t="str">
        <f t="shared" si="0"/>
        <v>Moderado-TIJOLO</v>
      </c>
      <c r="B9" t="s">
        <v>32</v>
      </c>
      <c r="C9" s="1" t="s">
        <v>22</v>
      </c>
      <c r="D9" s="2">
        <v>0.35</v>
      </c>
    </row>
    <row r="10" spans="1:7" ht="21" x14ac:dyDescent="0.5">
      <c r="A10" t="str">
        <f t="shared" si="0"/>
        <v>Moderado-HIBRIDO</v>
      </c>
      <c r="B10" t="s">
        <v>32</v>
      </c>
      <c r="C10" s="1" t="s">
        <v>23</v>
      </c>
      <c r="D10" s="2">
        <v>0.1</v>
      </c>
    </row>
    <row r="11" spans="1:7" ht="21" x14ac:dyDescent="0.5">
      <c r="A11" t="str">
        <f t="shared" si="0"/>
        <v>Moderado-FOFs</v>
      </c>
      <c r="B11" t="s">
        <v>32</v>
      </c>
      <c r="C11" s="1" t="s">
        <v>24</v>
      </c>
      <c r="D11" s="2">
        <v>0.1</v>
      </c>
    </row>
    <row r="12" spans="1:7" ht="21" x14ac:dyDescent="0.5">
      <c r="A12" t="str">
        <f t="shared" si="0"/>
        <v>Moderado-DESENVOLVIMENTO</v>
      </c>
      <c r="B12" t="s">
        <v>32</v>
      </c>
      <c r="C12" s="1" t="s">
        <v>25</v>
      </c>
      <c r="D12" s="2">
        <v>0.05</v>
      </c>
    </row>
    <row r="13" spans="1:7" ht="21.75" thickBot="1" x14ac:dyDescent="0.55000000000000004">
      <c r="A13" s="3" t="str">
        <f t="shared" si="0"/>
        <v>Moderado-HOTELARIA</v>
      </c>
      <c r="B13" s="3" t="s">
        <v>32</v>
      </c>
      <c r="C13" s="4" t="s">
        <v>26</v>
      </c>
      <c r="D13" s="5">
        <v>0.1</v>
      </c>
    </row>
    <row r="14" spans="1:7" ht="21" x14ac:dyDescent="0.5">
      <c r="A14" t="str">
        <f t="shared" si="0"/>
        <v>Agressivo-PAPEL</v>
      </c>
      <c r="B14" t="s">
        <v>33</v>
      </c>
      <c r="C14" s="1" t="s">
        <v>21</v>
      </c>
      <c r="D14" s="2">
        <v>0.45</v>
      </c>
    </row>
    <row r="15" spans="1:7" ht="21" x14ac:dyDescent="0.5">
      <c r="A15" t="str">
        <f t="shared" si="0"/>
        <v>Agressivo-TIJOLO</v>
      </c>
      <c r="B15" t="s">
        <v>33</v>
      </c>
      <c r="C15" s="1" t="s">
        <v>22</v>
      </c>
      <c r="D15" s="2">
        <v>0.25</v>
      </c>
    </row>
    <row r="16" spans="1:7" ht="21" x14ac:dyDescent="0.5">
      <c r="A16" t="str">
        <f t="shared" si="0"/>
        <v>Agressivo-HIBRIDO</v>
      </c>
      <c r="B16" t="s">
        <v>33</v>
      </c>
      <c r="C16" s="1" t="s">
        <v>23</v>
      </c>
      <c r="D16" s="2">
        <v>0.1</v>
      </c>
    </row>
    <row r="17" spans="1:9" ht="21" x14ac:dyDescent="0.5">
      <c r="A17" t="str">
        <f t="shared" si="0"/>
        <v>Agressivo-FOFs</v>
      </c>
      <c r="B17" t="s">
        <v>33</v>
      </c>
      <c r="C17" s="1" t="s">
        <v>24</v>
      </c>
      <c r="D17" s="2">
        <v>0.1</v>
      </c>
    </row>
    <row r="18" spans="1:9" ht="21" x14ac:dyDescent="0.5">
      <c r="A18" t="str">
        <f t="shared" si="0"/>
        <v>Agressivo-DESENVOLVIMENTO</v>
      </c>
      <c r="B18" t="s">
        <v>33</v>
      </c>
      <c r="C18" s="1" t="s">
        <v>25</v>
      </c>
      <c r="D18" s="2">
        <v>0.05</v>
      </c>
    </row>
    <row r="19" spans="1:9" ht="21.75" thickBot="1" x14ac:dyDescent="0.55000000000000004">
      <c r="A19" s="3" t="str">
        <f t="shared" si="0"/>
        <v>Agressivo-HOTELARIA</v>
      </c>
      <c r="B19" s="3" t="s">
        <v>33</v>
      </c>
      <c r="C19" s="4" t="s">
        <v>26</v>
      </c>
      <c r="D19" s="5">
        <v>0.05</v>
      </c>
    </row>
    <row r="21" spans="1:9" x14ac:dyDescent="0.25">
      <c r="F21" s="81">
        <v>1.0500000000000001E-2</v>
      </c>
    </row>
    <row r="22" spans="1:9" x14ac:dyDescent="0.25">
      <c r="F22">
        <v>600</v>
      </c>
    </row>
    <row r="23" spans="1:9" x14ac:dyDescent="0.25">
      <c r="F23">
        <v>9000</v>
      </c>
    </row>
    <row r="25" spans="1:9" x14ac:dyDescent="0.25">
      <c r="F25">
        <f>ROUNDDOWN(NPER(F21,-F22,0,F23),0)</f>
        <v>14</v>
      </c>
      <c r="H25">
        <f>50-F25</f>
        <v>36</v>
      </c>
    </row>
    <row r="27" spans="1:9" x14ac:dyDescent="0.25">
      <c r="F27">
        <f>NPER(1.05%,600,0,9000)</f>
        <v>-16.407600370181328</v>
      </c>
    </row>
    <row r="28" spans="1:9" x14ac:dyDescent="0.25">
      <c r="I28">
        <f>F22*F25</f>
        <v>8400</v>
      </c>
    </row>
    <row r="29" spans="1:9" x14ac:dyDescent="0.25">
      <c r="F29">
        <v>-16.407600370181328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22</vt:i4>
      </vt:variant>
    </vt:vector>
  </HeadingPairs>
  <TitlesOfParts>
    <vt:vector size="25" baseType="lpstr">
      <vt:lpstr>INVESTIMENTOS</vt:lpstr>
      <vt:lpstr>FÉRIAS - COMPRAS</vt:lpstr>
      <vt:lpstr>TABELA APOIO</vt:lpstr>
      <vt:lpstr>acumulado_periodo</vt:lpstr>
      <vt:lpstr>aporte</vt:lpstr>
      <vt:lpstr>aporte_real</vt:lpstr>
      <vt:lpstr>aporte1</vt:lpstr>
      <vt:lpstr>aporte2</vt:lpstr>
      <vt:lpstr>dividendos</vt:lpstr>
      <vt:lpstr>meses_carro</vt:lpstr>
      <vt:lpstr>meses_carro2</vt:lpstr>
      <vt:lpstr>meses_ferias</vt:lpstr>
      <vt:lpstr>objetivo_Ferias</vt:lpstr>
      <vt:lpstr>objetivo2</vt:lpstr>
      <vt:lpstr>patrimonio_carro1</vt:lpstr>
      <vt:lpstr>patrimonio_carro2</vt:lpstr>
      <vt:lpstr>patrimonio_ferias</vt:lpstr>
      <vt:lpstr>perfil</vt:lpstr>
      <vt:lpstr>qtd_anos</vt:lpstr>
      <vt:lpstr>rendimento_carteira</vt:lpstr>
      <vt:lpstr>salario</vt:lpstr>
      <vt:lpstr>sugestao_invest</vt:lpstr>
      <vt:lpstr>taxa_rendimento</vt:lpstr>
      <vt:lpstr>veiculo</vt:lpstr>
      <vt:lpstr>veiculo_depreciado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wabher miyoshi</dc:creator>
  <cp:lastModifiedBy>wabher miyoshi</cp:lastModifiedBy>
  <cp:lastPrinted>2026-10-07T20:56:55Z</cp:lastPrinted>
  <dcterms:created xsi:type="dcterms:W3CDTF">2026-10-07T01:25:24Z</dcterms:created>
  <dcterms:modified xsi:type="dcterms:W3CDTF">2026-10-08T02:09:06Z</dcterms:modified>
</cp:coreProperties>
</file>